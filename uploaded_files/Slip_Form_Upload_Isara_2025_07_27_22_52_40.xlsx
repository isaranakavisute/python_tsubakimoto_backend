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ranakavisute/Downloads/"/>
    </mc:Choice>
  </mc:AlternateContent>
  <xr:revisionPtr revIDLastSave="0" documentId="13_ncr:1_{3461A32D-CDEC-014F-AE5E-62A099984DE9}" xr6:coauthVersionLast="47" xr6:coauthVersionMax="47" xr10:uidLastSave="{00000000-0000-0000-0000-000000000000}"/>
  <bookViews>
    <workbookView xWindow="0" yWindow="500" windowWidth="35840" windowHeight="20880" xr2:uid="{6159A141-ECF2-4BAC-9713-1B43B11CF424}"/>
  </bookViews>
  <sheets>
    <sheet name="Slip April" sheetId="1" r:id="rId1"/>
    <sheet name="1" sheetId="649" r:id="rId2"/>
  </sheets>
  <definedNames>
    <definedName name="_xlnm._FilterDatabase" localSheetId="0" hidden="1">'Slip April'!$A$17:$ED$23</definedName>
    <definedName name="_xlnm.Print_Area" localSheetId="1">'1'!$A$1:$I$69</definedName>
    <definedName name="_xlnm.Print_Area" localSheetId="0">'Slip April'!$A$1:$EP$119</definedName>
    <definedName name="_xlnm.Print_Titles" localSheetId="0">'Slip April'!$6:$13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9" i="1" l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E119" i="1"/>
  <c r="EF119" i="1"/>
  <c r="EG119" i="1"/>
  <c r="EH119" i="1"/>
  <c r="EI119" i="1"/>
  <c r="EJ119" i="1"/>
  <c r="EK119" i="1"/>
  <c r="EL119" i="1"/>
  <c r="EM119" i="1"/>
  <c r="EN119" i="1"/>
  <c r="EO119" i="1"/>
  <c r="CZ25" i="1"/>
  <c r="DA25" i="1" s="1"/>
  <c r="CZ26" i="1"/>
  <c r="DA26" i="1" s="1"/>
  <c r="CZ27" i="1"/>
  <c r="DA27" i="1" s="1"/>
  <c r="CZ28" i="1"/>
  <c r="DA28" i="1" s="1"/>
  <c r="CZ29" i="1"/>
  <c r="DA29" i="1" s="1"/>
  <c r="CZ30" i="1"/>
  <c r="DA30" i="1" s="1"/>
  <c r="CZ31" i="1"/>
  <c r="DA31" i="1" s="1"/>
  <c r="CZ32" i="1"/>
  <c r="DA32" i="1" s="1"/>
  <c r="CZ33" i="1"/>
  <c r="DA33" i="1" s="1"/>
  <c r="CZ34" i="1"/>
  <c r="DA34" i="1" s="1"/>
  <c r="CZ35" i="1"/>
  <c r="DA35" i="1" s="1"/>
  <c r="CZ36" i="1"/>
  <c r="DA36" i="1" s="1"/>
  <c r="CZ37" i="1"/>
  <c r="DA37" i="1" s="1"/>
  <c r="CZ38" i="1"/>
  <c r="DA38" i="1" s="1"/>
  <c r="CZ39" i="1"/>
  <c r="DA39" i="1" s="1"/>
  <c r="CZ40" i="1"/>
  <c r="DA40" i="1" s="1"/>
  <c r="CZ41" i="1"/>
  <c r="DA41" i="1" s="1"/>
  <c r="CZ42" i="1"/>
  <c r="DA42" i="1" s="1"/>
  <c r="CZ43" i="1"/>
  <c r="DA43" i="1" s="1"/>
  <c r="CZ44" i="1"/>
  <c r="DA44" i="1" s="1"/>
  <c r="CZ45" i="1"/>
  <c r="DA45" i="1" s="1"/>
  <c r="CZ46" i="1"/>
  <c r="DA46" i="1" s="1"/>
  <c r="CZ47" i="1"/>
  <c r="DA47" i="1" s="1"/>
  <c r="CZ48" i="1"/>
  <c r="DA48" i="1" s="1"/>
  <c r="CZ49" i="1"/>
  <c r="DA49" i="1" s="1"/>
  <c r="CZ50" i="1"/>
  <c r="DA50" i="1" s="1"/>
  <c r="CZ51" i="1"/>
  <c r="DA51" i="1" s="1"/>
  <c r="CZ52" i="1"/>
  <c r="DA52" i="1" s="1"/>
  <c r="CZ53" i="1"/>
  <c r="DA53" i="1" s="1"/>
  <c r="CZ54" i="1"/>
  <c r="DA54" i="1" s="1"/>
  <c r="CZ55" i="1"/>
  <c r="DA55" i="1" s="1"/>
  <c r="CZ56" i="1"/>
  <c r="DA56" i="1" s="1"/>
  <c r="CZ57" i="1"/>
  <c r="DA57" i="1" s="1"/>
  <c r="CZ58" i="1"/>
  <c r="DA58" i="1" s="1"/>
  <c r="CZ59" i="1"/>
  <c r="DA59" i="1" s="1"/>
  <c r="CZ60" i="1"/>
  <c r="DA60" i="1" s="1"/>
  <c r="CZ61" i="1"/>
  <c r="DA61" i="1" s="1"/>
  <c r="CZ62" i="1"/>
  <c r="DA62" i="1" s="1"/>
  <c r="CZ63" i="1"/>
  <c r="DA63" i="1" s="1"/>
  <c r="CZ64" i="1"/>
  <c r="DA64" i="1" s="1"/>
  <c r="CZ65" i="1"/>
  <c r="DA65" i="1" s="1"/>
  <c r="CZ66" i="1"/>
  <c r="DA66" i="1" s="1"/>
  <c r="CZ67" i="1"/>
  <c r="DA67" i="1" s="1"/>
  <c r="CZ68" i="1"/>
  <c r="DA68" i="1" s="1"/>
  <c r="CZ69" i="1"/>
  <c r="DA69" i="1" s="1"/>
  <c r="CZ70" i="1"/>
  <c r="DA70" i="1" s="1"/>
  <c r="CZ71" i="1"/>
  <c r="DA71" i="1" s="1"/>
  <c r="CZ72" i="1"/>
  <c r="DA72" i="1" s="1"/>
  <c r="CZ73" i="1"/>
  <c r="DA73" i="1" s="1"/>
  <c r="CZ74" i="1"/>
  <c r="DA74" i="1" s="1"/>
  <c r="CZ75" i="1"/>
  <c r="DA75" i="1" s="1"/>
  <c r="CZ76" i="1"/>
  <c r="DA76" i="1" s="1"/>
  <c r="CZ77" i="1"/>
  <c r="DA77" i="1" s="1"/>
  <c r="CZ78" i="1"/>
  <c r="DA78" i="1" s="1"/>
  <c r="CZ79" i="1"/>
  <c r="DA79" i="1" s="1"/>
  <c r="CZ80" i="1"/>
  <c r="DA80" i="1" s="1"/>
  <c r="CZ81" i="1"/>
  <c r="DA81" i="1" s="1"/>
  <c r="CZ82" i="1"/>
  <c r="DA82" i="1" s="1"/>
  <c r="CZ83" i="1"/>
  <c r="DA83" i="1" s="1"/>
  <c r="CZ84" i="1"/>
  <c r="DA84" i="1" s="1"/>
  <c r="CZ85" i="1"/>
  <c r="DA85" i="1" s="1"/>
  <c r="CZ86" i="1"/>
  <c r="DA86" i="1" s="1"/>
  <c r="CZ87" i="1"/>
  <c r="DA87" i="1" s="1"/>
  <c r="CZ88" i="1"/>
  <c r="DA88" i="1" s="1"/>
  <c r="CZ89" i="1"/>
  <c r="DA89" i="1" s="1"/>
  <c r="CZ90" i="1"/>
  <c r="DA90" i="1" s="1"/>
  <c r="CZ91" i="1"/>
  <c r="DA91" i="1" s="1"/>
  <c r="CZ92" i="1"/>
  <c r="DA92" i="1" s="1"/>
  <c r="CZ93" i="1"/>
  <c r="DA93" i="1" s="1"/>
  <c r="CZ94" i="1"/>
  <c r="DA94" i="1" s="1"/>
  <c r="CZ95" i="1"/>
  <c r="DA95" i="1" s="1"/>
  <c r="CZ96" i="1"/>
  <c r="DA96" i="1" s="1"/>
  <c r="CZ97" i="1"/>
  <c r="DA97" i="1" s="1"/>
  <c r="CZ98" i="1"/>
  <c r="DA98" i="1" s="1"/>
  <c r="CZ99" i="1"/>
  <c r="DA99" i="1" s="1"/>
  <c r="CZ100" i="1"/>
  <c r="DA100" i="1" s="1"/>
  <c r="CZ101" i="1"/>
  <c r="DA101" i="1" s="1"/>
  <c r="CZ102" i="1"/>
  <c r="DA102" i="1" s="1"/>
  <c r="CZ103" i="1"/>
  <c r="DA103" i="1" s="1"/>
  <c r="CZ104" i="1"/>
  <c r="DA104" i="1" s="1"/>
  <c r="CZ105" i="1"/>
  <c r="DA105" i="1" s="1"/>
  <c r="CZ106" i="1"/>
  <c r="DA106" i="1" s="1"/>
  <c r="CZ107" i="1"/>
  <c r="DA107" i="1" s="1"/>
  <c r="CZ108" i="1"/>
  <c r="DA108" i="1" s="1"/>
  <c r="CZ109" i="1"/>
  <c r="DA109" i="1" s="1"/>
  <c r="CZ110" i="1"/>
  <c r="DA110" i="1" s="1"/>
  <c r="CZ111" i="1"/>
  <c r="DA111" i="1" s="1"/>
  <c r="CZ112" i="1"/>
  <c r="DA112" i="1" s="1"/>
  <c r="CZ113" i="1"/>
  <c r="DA113" i="1" s="1"/>
  <c r="CZ114" i="1"/>
  <c r="DA114" i="1" s="1"/>
  <c r="CZ115" i="1"/>
  <c r="DA115" i="1" s="1"/>
  <c r="CZ116" i="1"/>
  <c r="DA116" i="1" s="1"/>
  <c r="CZ117" i="1"/>
  <c r="DA117" i="1" s="1"/>
  <c r="CZ118" i="1"/>
  <c r="DA118" i="1" s="1"/>
  <c r="CZ24" i="1"/>
  <c r="DA24" i="1" s="1"/>
  <c r="EC26" i="1"/>
  <c r="ED26" i="1"/>
  <c r="EP26" i="1" s="1"/>
  <c r="EC27" i="1"/>
  <c r="ED27" i="1"/>
  <c r="EP27" i="1" s="1"/>
  <c r="EC28" i="1"/>
  <c r="ED28" i="1"/>
  <c r="EP28" i="1" s="1"/>
  <c r="EC29" i="1"/>
  <c r="ED29" i="1"/>
  <c r="EP29" i="1" s="1"/>
  <c r="EC30" i="1"/>
  <c r="ED30" i="1"/>
  <c r="EP30" i="1" s="1"/>
  <c r="EC31" i="1"/>
  <c r="ED31" i="1"/>
  <c r="EP31" i="1" s="1"/>
  <c r="EC32" i="1"/>
  <c r="ED32" i="1"/>
  <c r="EP32" i="1" s="1"/>
  <c r="EC33" i="1"/>
  <c r="ED33" i="1"/>
  <c r="EP33" i="1" s="1"/>
  <c r="EC34" i="1"/>
  <c r="ED34" i="1"/>
  <c r="EP34" i="1" s="1"/>
  <c r="EC35" i="1"/>
  <c r="ED35" i="1"/>
  <c r="EP35" i="1" s="1"/>
  <c r="EC36" i="1"/>
  <c r="ED36" i="1"/>
  <c r="EP36" i="1" s="1"/>
  <c r="EC37" i="1"/>
  <c r="ED37" i="1"/>
  <c r="EP37" i="1" s="1"/>
  <c r="EC38" i="1"/>
  <c r="ED38" i="1"/>
  <c r="EP38" i="1" s="1"/>
  <c r="EC39" i="1"/>
  <c r="ED39" i="1"/>
  <c r="EP39" i="1" s="1"/>
  <c r="EC40" i="1"/>
  <c r="ED40" i="1"/>
  <c r="EP40" i="1" s="1"/>
  <c r="EC41" i="1"/>
  <c r="ED41" i="1"/>
  <c r="EP41" i="1" s="1"/>
  <c r="EC42" i="1"/>
  <c r="ED42" i="1"/>
  <c r="EP42" i="1" s="1"/>
  <c r="EC43" i="1"/>
  <c r="ED43" i="1"/>
  <c r="EP43" i="1" s="1"/>
  <c r="EC44" i="1"/>
  <c r="ED44" i="1"/>
  <c r="EP44" i="1" s="1"/>
  <c r="EC45" i="1"/>
  <c r="ED45" i="1"/>
  <c r="EP45" i="1" s="1"/>
  <c r="EC46" i="1"/>
  <c r="ED46" i="1"/>
  <c r="EP46" i="1" s="1"/>
  <c r="EC47" i="1"/>
  <c r="ED47" i="1"/>
  <c r="EP47" i="1" s="1"/>
  <c r="EC48" i="1"/>
  <c r="ED48" i="1"/>
  <c r="EP48" i="1" s="1"/>
  <c r="EC49" i="1"/>
  <c r="ED49" i="1"/>
  <c r="EP49" i="1" s="1"/>
  <c r="EC50" i="1"/>
  <c r="ED50" i="1"/>
  <c r="EP50" i="1" s="1"/>
  <c r="EC51" i="1"/>
  <c r="ED51" i="1"/>
  <c r="EP51" i="1" s="1"/>
  <c r="EC52" i="1"/>
  <c r="ED52" i="1"/>
  <c r="EP52" i="1" s="1"/>
  <c r="EC53" i="1"/>
  <c r="ED53" i="1"/>
  <c r="EP53" i="1" s="1"/>
  <c r="EC54" i="1"/>
  <c r="ED54" i="1"/>
  <c r="EP54" i="1" s="1"/>
  <c r="EC55" i="1"/>
  <c r="ED55" i="1"/>
  <c r="EP55" i="1" s="1"/>
  <c r="EC56" i="1"/>
  <c r="ED56" i="1"/>
  <c r="EP56" i="1" s="1"/>
  <c r="EC57" i="1"/>
  <c r="ED57" i="1"/>
  <c r="EP57" i="1" s="1"/>
  <c r="EC58" i="1"/>
  <c r="ED58" i="1"/>
  <c r="EP58" i="1" s="1"/>
  <c r="EC59" i="1"/>
  <c r="ED59" i="1"/>
  <c r="EP59" i="1" s="1"/>
  <c r="EC60" i="1"/>
  <c r="ED60" i="1"/>
  <c r="EP60" i="1" s="1"/>
  <c r="EC61" i="1"/>
  <c r="ED61" i="1"/>
  <c r="EP61" i="1" s="1"/>
  <c r="EC62" i="1"/>
  <c r="ED62" i="1"/>
  <c r="EP62" i="1" s="1"/>
  <c r="EC63" i="1"/>
  <c r="ED63" i="1"/>
  <c r="EP63" i="1" s="1"/>
  <c r="EC64" i="1"/>
  <c r="ED64" i="1"/>
  <c r="EP64" i="1" s="1"/>
  <c r="EC65" i="1"/>
  <c r="ED65" i="1"/>
  <c r="EP65" i="1" s="1"/>
  <c r="EC66" i="1"/>
  <c r="ED66" i="1"/>
  <c r="EP66" i="1" s="1"/>
  <c r="EC67" i="1"/>
  <c r="ED67" i="1"/>
  <c r="EP67" i="1" s="1"/>
  <c r="EC68" i="1"/>
  <c r="ED68" i="1"/>
  <c r="EP68" i="1" s="1"/>
  <c r="EC69" i="1"/>
  <c r="ED69" i="1"/>
  <c r="EP69" i="1" s="1"/>
  <c r="EC70" i="1"/>
  <c r="ED70" i="1"/>
  <c r="EP70" i="1" s="1"/>
  <c r="EC71" i="1"/>
  <c r="ED71" i="1"/>
  <c r="EP71" i="1" s="1"/>
  <c r="EC72" i="1"/>
  <c r="ED72" i="1"/>
  <c r="EP72" i="1" s="1"/>
  <c r="EC73" i="1"/>
  <c r="ED73" i="1"/>
  <c r="EP73" i="1" s="1"/>
  <c r="EC74" i="1"/>
  <c r="ED74" i="1"/>
  <c r="EP74" i="1" s="1"/>
  <c r="EC75" i="1"/>
  <c r="ED75" i="1"/>
  <c r="EP75" i="1" s="1"/>
  <c r="EC76" i="1"/>
  <c r="ED76" i="1"/>
  <c r="EP76" i="1" s="1"/>
  <c r="EC77" i="1"/>
  <c r="ED77" i="1"/>
  <c r="EP77" i="1" s="1"/>
  <c r="EC78" i="1"/>
  <c r="ED78" i="1"/>
  <c r="EP78" i="1" s="1"/>
  <c r="EC79" i="1"/>
  <c r="ED79" i="1"/>
  <c r="EP79" i="1" s="1"/>
  <c r="EC80" i="1"/>
  <c r="ED80" i="1"/>
  <c r="EP80" i="1" s="1"/>
  <c r="EC81" i="1"/>
  <c r="ED81" i="1"/>
  <c r="EP81" i="1" s="1"/>
  <c r="EC82" i="1"/>
  <c r="ED82" i="1"/>
  <c r="EP82" i="1" s="1"/>
  <c r="EC83" i="1"/>
  <c r="ED83" i="1"/>
  <c r="EP83" i="1" s="1"/>
  <c r="EC84" i="1"/>
  <c r="ED84" i="1"/>
  <c r="EP84" i="1" s="1"/>
  <c r="EC85" i="1"/>
  <c r="ED85" i="1"/>
  <c r="EP85" i="1" s="1"/>
  <c r="EC86" i="1"/>
  <c r="ED86" i="1"/>
  <c r="EP86" i="1" s="1"/>
  <c r="EC87" i="1"/>
  <c r="ED87" i="1"/>
  <c r="EP87" i="1" s="1"/>
  <c r="EC88" i="1"/>
  <c r="ED88" i="1"/>
  <c r="EP88" i="1" s="1"/>
  <c r="EC89" i="1"/>
  <c r="ED89" i="1"/>
  <c r="EP89" i="1" s="1"/>
  <c r="EC90" i="1"/>
  <c r="ED90" i="1"/>
  <c r="EP90" i="1" s="1"/>
  <c r="EC91" i="1"/>
  <c r="ED91" i="1"/>
  <c r="EP91" i="1" s="1"/>
  <c r="EC92" i="1"/>
  <c r="ED92" i="1"/>
  <c r="EP92" i="1" s="1"/>
  <c r="EC93" i="1"/>
  <c r="ED93" i="1"/>
  <c r="EP93" i="1" s="1"/>
  <c r="EC94" i="1"/>
  <c r="ED94" i="1"/>
  <c r="EP94" i="1" s="1"/>
  <c r="EC95" i="1"/>
  <c r="ED95" i="1"/>
  <c r="EP95" i="1" s="1"/>
  <c r="EC96" i="1"/>
  <c r="ED96" i="1"/>
  <c r="EP96" i="1" s="1"/>
  <c r="EC97" i="1"/>
  <c r="ED97" i="1"/>
  <c r="EP97" i="1" s="1"/>
  <c r="EC98" i="1"/>
  <c r="ED98" i="1"/>
  <c r="EP98" i="1" s="1"/>
  <c r="EC99" i="1"/>
  <c r="ED99" i="1"/>
  <c r="EP99" i="1" s="1"/>
  <c r="EC100" i="1"/>
  <c r="ED100" i="1"/>
  <c r="EP100" i="1" s="1"/>
  <c r="EC101" i="1"/>
  <c r="ED101" i="1"/>
  <c r="EP101" i="1" s="1"/>
  <c r="EC102" i="1"/>
  <c r="ED102" i="1"/>
  <c r="EP102" i="1" s="1"/>
  <c r="EC103" i="1"/>
  <c r="ED103" i="1"/>
  <c r="EP103" i="1" s="1"/>
  <c r="EC104" i="1"/>
  <c r="ED104" i="1"/>
  <c r="EP104" i="1" s="1"/>
  <c r="EC105" i="1"/>
  <c r="ED105" i="1"/>
  <c r="EP105" i="1" s="1"/>
  <c r="EC106" i="1"/>
  <c r="ED106" i="1"/>
  <c r="EP106" i="1" s="1"/>
  <c r="EC107" i="1"/>
  <c r="ED107" i="1"/>
  <c r="EP107" i="1" s="1"/>
  <c r="EC108" i="1"/>
  <c r="ED108" i="1"/>
  <c r="EP108" i="1" s="1"/>
  <c r="EC109" i="1"/>
  <c r="ED109" i="1"/>
  <c r="EP109" i="1" s="1"/>
  <c r="EC110" i="1"/>
  <c r="ED110" i="1"/>
  <c r="EP110" i="1" s="1"/>
  <c r="EC111" i="1"/>
  <c r="ED111" i="1"/>
  <c r="EP111" i="1" s="1"/>
  <c r="EC112" i="1"/>
  <c r="ED112" i="1"/>
  <c r="EP112" i="1" s="1"/>
  <c r="EC113" i="1"/>
  <c r="ED113" i="1"/>
  <c r="EP113" i="1" s="1"/>
  <c r="EC114" i="1"/>
  <c r="ED114" i="1"/>
  <c r="EP114" i="1" s="1"/>
  <c r="EC115" i="1"/>
  <c r="ED115" i="1"/>
  <c r="EP115" i="1" s="1"/>
  <c r="EC116" i="1"/>
  <c r="ED116" i="1"/>
  <c r="EP116" i="1" s="1"/>
  <c r="EC117" i="1"/>
  <c r="ED117" i="1"/>
  <c r="EP117" i="1" s="1"/>
  <c r="EC118" i="1"/>
  <c r="ED118" i="1"/>
  <c r="EP118" i="1" s="1"/>
  <c r="EC24" i="1"/>
  <c r="ED24" i="1"/>
  <c r="EP24" i="1" s="1"/>
  <c r="EC25" i="1"/>
  <c r="ED25" i="1"/>
  <c r="EP25" i="1" s="1"/>
  <c r="I2" i="649"/>
  <c r="I3" i="649"/>
  <c r="DA119" i="1" l="1"/>
  <c r="CZ119" i="1"/>
  <c r="ED20" i="1"/>
  <c r="ED21" i="1"/>
  <c r="ED22" i="1"/>
  <c r="ED23" i="1"/>
  <c r="ED19" i="1"/>
  <c r="ED119" i="1" l="1"/>
  <c r="I4" i="649"/>
  <c r="EC20" i="1"/>
  <c r="EC21" i="1"/>
  <c r="EC22" i="1"/>
  <c r="EC23" i="1"/>
  <c r="EC19" i="1"/>
  <c r="EP20" i="1"/>
  <c r="EP21" i="1"/>
  <c r="EP22" i="1"/>
  <c r="EP23" i="1"/>
  <c r="EC119" i="1" l="1"/>
  <c r="C10" i="649"/>
  <c r="E15" i="649"/>
  <c r="E18" i="649"/>
  <c r="G14" i="649"/>
  <c r="C27" i="649"/>
  <c r="E12" i="649"/>
  <c r="G20" i="649"/>
  <c r="I17" i="649"/>
  <c r="G19" i="649"/>
  <c r="G13" i="649"/>
  <c r="G21" i="649"/>
  <c r="I14" i="649"/>
  <c r="G18" i="649"/>
  <c r="G12" i="649"/>
  <c r="G22" i="649"/>
  <c r="G16" i="649"/>
  <c r="G15" i="649"/>
  <c r="I10" i="649"/>
  <c r="G17" i="649"/>
  <c r="E60" i="649"/>
  <c r="E59" i="649"/>
  <c r="E30" i="649"/>
  <c r="E36" i="649"/>
  <c r="E42" i="649"/>
  <c r="E48" i="649"/>
  <c r="E54" i="649"/>
  <c r="E26" i="649"/>
  <c r="G11" i="649"/>
  <c r="G10" i="649"/>
  <c r="E32" i="649"/>
  <c r="E38" i="649"/>
  <c r="E44" i="649"/>
  <c r="E50" i="649"/>
  <c r="E56" i="649"/>
  <c r="C18" i="649"/>
  <c r="E33" i="649"/>
  <c r="E39" i="649"/>
  <c r="E45" i="649"/>
  <c r="E51" i="649"/>
  <c r="E57" i="649"/>
  <c r="E34" i="649"/>
  <c r="E40" i="649"/>
  <c r="E46" i="649"/>
  <c r="E52" i="649"/>
  <c r="E58" i="649"/>
  <c r="E29" i="649"/>
  <c r="E35" i="649"/>
  <c r="E41" i="649"/>
  <c r="E47" i="649"/>
  <c r="E53" i="649"/>
  <c r="E31" i="649"/>
  <c r="E37" i="649"/>
  <c r="E43" i="649"/>
  <c r="E49" i="649"/>
  <c r="E55" i="649"/>
  <c r="E25" i="649"/>
  <c r="E28" i="649"/>
  <c r="E19" i="649"/>
  <c r="C12" i="649"/>
  <c r="E22" i="649"/>
  <c r="C16" i="649"/>
  <c r="C20" i="649"/>
  <c r="C23" i="649"/>
  <c r="C26" i="649"/>
  <c r="C15" i="649"/>
  <c r="C19" i="649"/>
  <c r="C22" i="649"/>
  <c r="C25" i="649"/>
  <c r="C28" i="649"/>
  <c r="G6" i="649"/>
  <c r="E14" i="649"/>
  <c r="C17" i="649"/>
  <c r="E21" i="649"/>
  <c r="E24" i="649"/>
  <c r="E27" i="649"/>
  <c r="C6" i="649"/>
  <c r="E13" i="649"/>
  <c r="E17" i="649"/>
  <c r="E20" i="649"/>
  <c r="C24" i="649"/>
  <c r="I5" i="649"/>
  <c r="C11" i="649"/>
  <c r="C13" i="649"/>
  <c r="E16" i="649"/>
  <c r="C21" i="649"/>
  <c r="E23" i="649"/>
  <c r="E11" i="649"/>
  <c r="EP19" i="1"/>
  <c r="EP119" i="1" s="1"/>
  <c r="I20" i="649" l="1"/>
  <c r="G66" i="649"/>
  <c r="E66" i="649"/>
  <c r="I63" i="64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kaew</author>
  </authors>
  <commentList>
    <comment ref="A14" authorId="0" shapeId="0" xr:uid="{C5511E7D-68E4-4B44-B4E7-B5799E833C15}">
      <text>
        <r>
          <rPr>
            <sz val="9"/>
            <color rgb="FF000000"/>
            <rFont val="Tahoma"/>
            <family val="2"/>
          </rPr>
          <t xml:space="preserve">1.Amata Nakorn (Chonburi)
</t>
        </r>
        <r>
          <rPr>
            <sz val="9"/>
            <color rgb="FF000000"/>
            <rFont val="Tahoma"/>
            <family val="2"/>
          </rPr>
          <t xml:space="preserve">2.Amata City (Rayong)
</t>
        </r>
        <r>
          <rPr>
            <sz val="9"/>
            <color rgb="FF000000"/>
            <rFont val="Tahoma"/>
            <family val="2"/>
          </rPr>
          <t xml:space="preserve">3.Eastern Seaboard (Rayong)
</t>
        </r>
        <r>
          <rPr>
            <sz val="9"/>
            <color rgb="FF000000"/>
            <rFont val="Tahoma"/>
            <family val="2"/>
          </rPr>
          <t xml:space="preserve">4.Pinthong (Chonburi)
</t>
        </r>
        <r>
          <rPr>
            <sz val="9"/>
            <color rgb="FF000000"/>
            <rFont val="Tahoma"/>
            <family val="2"/>
          </rPr>
          <t xml:space="preserve">5.Ayutthaya 
</t>
        </r>
        <r>
          <rPr>
            <sz val="9"/>
            <color rgb="FF000000"/>
            <rFont val="Tahoma"/>
            <family val="2"/>
          </rPr>
          <t xml:space="preserve">6.Prachinburi
</t>
        </r>
        <r>
          <rPr>
            <sz val="9"/>
            <color rgb="FF000000"/>
            <rFont val="Tahoma"/>
            <family val="2"/>
          </rPr>
          <t>7.Head Office (Chonburi)</t>
        </r>
      </text>
    </comment>
    <comment ref="J16" authorId="1" shapeId="0" xr:uid="{1BD85A19-4621-490B-95BC-A6A0CE919595}">
      <text>
        <r>
          <rPr>
            <b/>
            <sz val="16"/>
            <color indexed="81"/>
            <rFont val="AngsanaUPC"/>
            <family val="1"/>
          </rPr>
          <t xml:space="preserve">วันทำงานทั้งหมดของเดือน
</t>
        </r>
      </text>
    </comment>
    <comment ref="V16" authorId="1" shapeId="0" xr:uid="{9D0FF01C-BACB-43CD-9D15-EFDFAD3086A7}">
      <text>
        <r>
          <rPr>
            <b/>
            <sz val="16"/>
            <color indexed="81"/>
            <rFont val="AngsanaUPC"/>
            <family val="1"/>
          </rPr>
          <t>วันทำงานทั้งหมดของเดือน</t>
        </r>
      </text>
    </comment>
  </commentList>
</comments>
</file>

<file path=xl/sharedStrings.xml><?xml version="1.0" encoding="utf-8"?>
<sst xmlns="http://schemas.openxmlformats.org/spreadsheetml/2006/main" count="799" uniqueCount="490">
  <si>
    <t>nms (Thailand) Co.,Ltd.</t>
  </si>
  <si>
    <t>Billing :</t>
  </si>
  <si>
    <t>NO</t>
  </si>
  <si>
    <t>Holiday</t>
  </si>
  <si>
    <t>SL</t>
  </si>
  <si>
    <t>SLC</t>
  </si>
  <si>
    <t>BL</t>
  </si>
  <si>
    <t>BLC</t>
  </si>
  <si>
    <t>AL</t>
  </si>
  <si>
    <t>AB</t>
  </si>
  <si>
    <t>ML</t>
  </si>
  <si>
    <t>Paid Salary</t>
  </si>
  <si>
    <t>Allowance</t>
  </si>
  <si>
    <t>Deduct</t>
  </si>
  <si>
    <t>หักลดหย่อน</t>
  </si>
  <si>
    <t>TAX</t>
  </si>
  <si>
    <t>1.5 X</t>
  </si>
  <si>
    <t>Total</t>
  </si>
  <si>
    <t>Day</t>
  </si>
  <si>
    <t>Baht</t>
  </si>
  <si>
    <t>hours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</si>
  <si>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</si>
  <si>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</si>
  <si>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</si>
  <si>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</si>
  <si>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</si>
  <si>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</si>
  <si>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</si>
  <si>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</si>
  <si>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</si>
  <si>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</si>
  <si>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</si>
  <si>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</si>
  <si>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</si>
  <si>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Operator</t>
  </si>
  <si>
    <t xml:space="preserve">ใบรับเงินเดือน  /  PAY SLIP </t>
  </si>
  <si>
    <t>ประจำงวด/ Period:</t>
  </si>
  <si>
    <t>ประจำสาขา/ Branch:</t>
  </si>
  <si>
    <t>รหัสพนักงาน/ Emp.No :</t>
  </si>
  <si>
    <t>แผนก/Dept.</t>
  </si>
  <si>
    <t>ชื่อสกุล/ Emp.</t>
  </si>
  <si>
    <t>ตำแหน่ง/Postion:</t>
  </si>
  <si>
    <t>รายได้ (Income)</t>
  </si>
  <si>
    <t>รายการหัก (Deduction)</t>
  </si>
  <si>
    <t>วัน</t>
  </si>
  <si>
    <t>ภาษีหัก ณ ที่จ่าย/ Tax.</t>
  </si>
  <si>
    <t>รายได้สะสม (บาท)</t>
  </si>
  <si>
    <t>ประกันสัมคมสะสม (บาท)</t>
  </si>
  <si>
    <t>ชม.</t>
  </si>
  <si>
    <t>ภาษีหัก ณ ที่จ่าย สะสม (บาท)</t>
  </si>
  <si>
    <t>กองทุนสำรองเลี้ยงชีพสะสม (บาท)</t>
  </si>
  <si>
    <t>เงินได้สุทธิ(บาท)</t>
  </si>
  <si>
    <t>รวมรายได้(บาท)</t>
  </si>
  <si>
    <t>รวมเงินหัก(บาท)</t>
  </si>
  <si>
    <t>(Net Income)</t>
  </si>
  <si>
    <t>Total Income</t>
  </si>
  <si>
    <t>Total Deduction</t>
  </si>
  <si>
    <t>Module Production 3</t>
  </si>
  <si>
    <t>NIP67011</t>
  </si>
  <si>
    <t>Wafer Production</t>
  </si>
  <si>
    <t>NIP67018</t>
  </si>
  <si>
    <t>Cell Production 3</t>
  </si>
  <si>
    <t>นางสาวน้ำฝน ชิณวงค์</t>
  </si>
  <si>
    <t>นางสาวฤทัยรัตน์ บุญสม</t>
  </si>
  <si>
    <t>Company :  Canadian  ( Phase 3)</t>
  </si>
  <si>
    <t>Working Days</t>
  </si>
  <si>
    <t>Leave</t>
  </si>
  <si>
    <t>Amount</t>
  </si>
  <si>
    <t>นางสาวพรมะณี กาบทุม</t>
  </si>
  <si>
    <t>อุปกรณ์โรงงาน / PPE</t>
  </si>
  <si>
    <t>NIP67014</t>
  </si>
  <si>
    <t>นางสาวสุจิตรา วงค์ศรี</t>
  </si>
  <si>
    <t>NIP67031</t>
  </si>
  <si>
    <t>นางสาวอรรจนันท์ คงหา</t>
  </si>
  <si>
    <t>รายได้สะสมประจำปี 2568</t>
  </si>
  <si>
    <t>ประกันสังคมสะสม ประจำปี 2568</t>
  </si>
  <si>
    <t/>
  </si>
  <si>
    <t>Cut Off :  26 January 2024 - 25 Febuary 2025</t>
  </si>
  <si>
    <t>Paid Leave</t>
  </si>
  <si>
    <t>1.0 X</t>
  </si>
  <si>
    <t>1.3 X</t>
  </si>
  <si>
    <t>1.7 X</t>
  </si>
  <si>
    <t>2.0 X ปกติ</t>
  </si>
  <si>
    <t>2.2 X</t>
  </si>
  <si>
    <t>3.0 X ปกติ</t>
  </si>
  <si>
    <t>2.0 X นักขัตฤกษ์</t>
  </si>
  <si>
    <t>3.0 X นักขัตฤกษ์</t>
  </si>
  <si>
    <t xml:space="preserve">3.2 X </t>
  </si>
  <si>
    <t>ค่าอาหาร / Meal Allowance</t>
  </si>
  <si>
    <t>ค่าอาหารวันหยุด / Holiday Meal Allowance</t>
  </si>
  <si>
    <t>ค่าอาหารล่วงเวลา / OT Meal Allowance</t>
  </si>
  <si>
    <t>ค่ากะดึก / Night Shift</t>
  </si>
  <si>
    <t>ค่ากะเช้า / Day Shift</t>
  </si>
  <si>
    <t>ค่าเดินทาง / Transportation</t>
  </si>
  <si>
    <t>ค่าเช่าบ้าน / Rental Allowance</t>
  </si>
  <si>
    <t>ค่าทักษะ / Skill-Based</t>
  </si>
  <si>
    <t>ค่าลักษณะงาน / Job Discription</t>
  </si>
  <si>
    <t>ค่าตรวจพบงานเสีย / Quality Award</t>
  </si>
  <si>
    <t>ค่าตัวชี้วันประสิทธิภาพ / KPI</t>
  </si>
  <si>
    <t>ค่าเดินทางออกต่างจังหวัด / Off-Site Travel Expenses (150)</t>
  </si>
  <si>
    <t>ค่าเดินทางออกต่างจังหวัด / Off-Site Travel Expenses (180)</t>
  </si>
  <si>
    <t>ค่าจอดรถ / Parking Fee</t>
  </si>
  <si>
    <t xml:space="preserve">เบี้ยขยัน / Diligence </t>
  </si>
  <si>
    <t>เบี้ยขยันพิเศษ / Special Diligence</t>
  </si>
  <si>
    <t>เงินพิเศษสำหรับพนักงาน / Extra Money For Emplyoees</t>
  </si>
  <si>
    <t>ค่าทำงานต่างพื้นที่ / Fees for work in different area</t>
  </si>
  <si>
    <t>อินเซนทีฟ / Incentive</t>
  </si>
  <si>
    <t>ค่าชดเชยพิเศษ / Special Allownce</t>
  </si>
  <si>
    <t>ค่าคอมมิชชั่น / Commission</t>
  </si>
  <si>
    <t>โบนัส / Bonus</t>
  </si>
  <si>
    <t>ตกเบิก/ Adjust</t>
  </si>
  <si>
    <t>อื่นๆ / Other</t>
  </si>
  <si>
    <t>สงเคราะห์กองทุนลูกจ้าง</t>
  </si>
  <si>
    <t>กยศ. / Student loan (TSLF)</t>
  </si>
  <si>
    <t>หักบังคับคดี/ Enforcement</t>
  </si>
  <si>
    <t xml:space="preserve">ชุดยูนิฟอร์ม / Uniform </t>
  </si>
  <si>
    <t>คูปอง / Cashless</t>
  </si>
  <si>
    <t>ค่าอาหารกะดึก / Night Shift Meal Allowance</t>
  </si>
  <si>
    <t>ค่าครองชีพ / Cost of Living Allowance</t>
  </si>
  <si>
    <t>ค่าตำแหน่ง / Position Allowance</t>
  </si>
  <si>
    <t>ค่าความเสี่ยง / Risk Allowance</t>
  </si>
  <si>
    <t>สิทธิประโยชน์พิเศษ / Special Benefit</t>
  </si>
  <si>
    <t>เบี้ยเลี้ยงออกนอกสถานที่/ Outside Allowance</t>
  </si>
  <si>
    <t>รางวัลบริการประจำปี /  Service Year Award</t>
  </si>
  <si>
    <t>คืนพักร้อนประจำปี/ Pay Annual Vacation</t>
  </si>
  <si>
    <t>หยุดงาน,สาย,กลับก่อน / Absent,  Late, Leave early</t>
  </si>
  <si>
    <t>รางวัลบริการประจำปี/ Service Year Award</t>
  </si>
  <si>
    <t>อปุกรณ์โรงงาน / PPE</t>
  </si>
  <si>
    <t>Hours</t>
  </si>
  <si>
    <t>ประกัน สังคม / SSF</t>
  </si>
  <si>
    <t>รายการหัก /Deduct</t>
  </si>
  <si>
    <t>รายการปรับ / Adjust</t>
  </si>
  <si>
    <t>สวัสดิการรวมทั้งหมด / Total Allowance</t>
  </si>
  <si>
    <t>จำนวนชั่วโมงทำงานล่วงเวลา / Total Overtime</t>
  </si>
  <si>
    <t>รายรับทั้งหมด / Total  Income</t>
  </si>
  <si>
    <t>วันเริ่มทำงาน / Start Working</t>
  </si>
  <si>
    <t>ทำงานวันสุดท้าย / Last Working</t>
  </si>
  <si>
    <t>เงินเดือน / Salary</t>
  </si>
  <si>
    <t>แผนก / Department</t>
  </si>
  <si>
    <t>ตำแหน่ง / Position</t>
  </si>
  <si>
    <t>ID Card</t>
  </si>
  <si>
    <t>ชื่อ-สกุล / Name</t>
  </si>
  <si>
    <t>เลขรหัส / ID</t>
  </si>
  <si>
    <t>ไม่มีรายการหัก / Non-Deduct</t>
  </si>
  <si>
    <t>รวมทั้งหมด / Total Payment</t>
  </si>
  <si>
    <t>ภาษีหัก ณ ที่จ่าย /  Tax.</t>
  </si>
  <si>
    <t>ประกันสังคม / SSF.</t>
  </si>
  <si>
    <t>ชั่วโมงการทำงาน / Working hours</t>
  </si>
  <si>
    <t>วันหยุดประเพณี/ Traditional</t>
  </si>
  <si>
    <t>พักร้อน, ป่วย,ลากิจ,ลาคลอด/ Maternity Leave ,AL,SLD,BLD</t>
  </si>
  <si>
    <t>หักบังคับคดี / Enforcement</t>
  </si>
  <si>
    <t>ค่าแรง 75% / Pay 75% of the wage</t>
  </si>
  <si>
    <t>เงินเบิกล่วงหน้า / Advance</t>
  </si>
  <si>
    <t xml:space="preserve">ค่าแรง 80% / Pay 80% of the wage </t>
  </si>
  <si>
    <t xml:space="preserve">ชุดยูนิฟอร์ม /  Uniform </t>
  </si>
  <si>
    <t>ค่าแรง 85% / Pay 85% of the wage</t>
  </si>
  <si>
    <t>ค่าล่วงเวลา OT x 1</t>
  </si>
  <si>
    <t>รางวัลบริการประจำปี / Service Year Award</t>
  </si>
  <si>
    <t xml:space="preserve">ค่าล่วงเวลา OT x 1.3 </t>
  </si>
  <si>
    <t>ค่าล่วงเวลา OT x 1.5</t>
  </si>
  <si>
    <t xml:space="preserve">ค่าล่วงเวลา OT x 1.7 </t>
  </si>
  <si>
    <t>ค่าล่วงเวลา OT x 2  ปกติ  / OT x 2 Regular Work Day</t>
  </si>
  <si>
    <t xml:space="preserve">ค่าล่วงเวลา OT x 2.2 </t>
  </si>
  <si>
    <t>ค่าล่วงเวลา OT x 3  ปกติ / OT x 3 Regular Work Day</t>
  </si>
  <si>
    <t>ค่าล่วงเวลา OT x 2  วันนักขัตฤกษ์ / OT x 2 for Holiday Work</t>
  </si>
  <si>
    <t>ค่าล่วงเวลา OT x 3  วันนักขัตฤกษ์ / OT x 2 for Holiday Work</t>
  </si>
  <si>
    <t xml:space="preserve">ค่าล่วงเวลา OT x 3.2 </t>
  </si>
  <si>
    <t xml:space="preserve">ค่ากะเช้า / Day shift </t>
  </si>
  <si>
    <t>ค่าทักษะ / Skill-based</t>
  </si>
  <si>
    <t>ค่าลักษณะงาน / Job description</t>
  </si>
  <si>
    <t>ค่าตำแหน่ง / Position allownce</t>
  </si>
  <si>
    <t xml:space="preserve">ค่าตรวจพบงานเสีย / Quality award </t>
  </si>
  <si>
    <t>ค่าความเสี่ยง / Risk allowance</t>
  </si>
  <si>
    <t>ค่าตัวชี้วัดประสิทธิภาพ / KPI</t>
  </si>
  <si>
    <t>ค่าเดินทางออกต่างจังหวัด (150) / Off-site Travel Expenses (150)</t>
  </si>
  <si>
    <t>ค่าเดินทางออกต่างจังหวัด (180) / Off-site Travel Expenses (180)</t>
  </si>
  <si>
    <t>เบี้ยขยัน / Diligence</t>
  </si>
  <si>
    <t>เงินพิเศษสำหรับพนักงาน / Extra Money for Employees</t>
  </si>
  <si>
    <t>เบี้ยเลี้ยงออกนอกสถานที่ / Outside Allowance</t>
  </si>
  <si>
    <t>คืนพักร้อนประจำปี / Pay Annual Vacation</t>
  </si>
  <si>
    <t>ตกเบิก / Adjust</t>
  </si>
  <si>
    <t>วันทำงาน / Working days  (J)</t>
  </si>
  <si>
    <t>เงินเดือนค่าจ้าง / Wage  (K)</t>
  </si>
  <si>
    <t>วันหยุดประเพณี
/Tradition</t>
  </si>
  <si>
    <t>ค่าแรง 75%</t>
  </si>
  <si>
    <t>ค่าแรง 80%</t>
  </si>
  <si>
    <t>ค่าแรง 85%</t>
  </si>
  <si>
    <t>เงินเบิกล่วงหน้า/Advance</t>
  </si>
  <si>
    <t>สงเคราะห์กองทุนลูกจ้าง 2568</t>
  </si>
  <si>
    <t>บาท/วัน</t>
  </si>
  <si>
    <t>กองทุนสำรองเลี้ยงชีพ</t>
  </si>
  <si>
    <t xml:space="preserve">Company </t>
  </si>
  <si>
    <t xml:space="preserve"> Canadian  ( Phase 3)</t>
  </si>
  <si>
    <t xml:space="preserve">  Febuary 2025</t>
  </si>
  <si>
    <t xml:space="preserve"> 05 March 2025</t>
  </si>
  <si>
    <t xml:space="preserve"> Amata City</t>
  </si>
  <si>
    <t>26 January 2024 - 25 Febuary 2025</t>
  </si>
  <si>
    <t>:</t>
  </si>
  <si>
    <t xml:space="preserve">Month   </t>
  </si>
  <si>
    <t xml:space="preserve">Branch  </t>
  </si>
  <si>
    <t xml:space="preserve">Billing </t>
  </si>
  <si>
    <t xml:space="preserve">Cut Off   </t>
  </si>
  <si>
    <t xml:space="preserve">Sub-Con Salary </t>
  </si>
  <si>
    <t>วันหยุด / Holiday</t>
  </si>
  <si>
    <t>Cell Production 4</t>
  </si>
  <si>
    <t>NIP67058</t>
  </si>
  <si>
    <t>Cell Production 5</t>
  </si>
  <si>
    <t>NIP67059</t>
  </si>
  <si>
    <t>Cell Production 6</t>
  </si>
  <si>
    <t>NIP67056</t>
    <phoneticPr fontId="26"/>
  </si>
  <si>
    <t>NIP67057</t>
    <phoneticPr fontId="26"/>
  </si>
  <si>
    <t>TEST 1</t>
    <phoneticPr fontId="26"/>
  </si>
  <si>
    <t>TEST 2</t>
    <phoneticPr fontId="26"/>
  </si>
  <si>
    <t>TEST 3</t>
  </si>
  <si>
    <t>TEST 4</t>
  </si>
  <si>
    <t>Cell Production 7</t>
  </si>
  <si>
    <t>TEST 5</t>
  </si>
  <si>
    <t>Cell Production 8</t>
  </si>
  <si>
    <t>TEST 6</t>
  </si>
  <si>
    <t>Cell Production 9</t>
  </si>
  <si>
    <t>TEST 7</t>
  </si>
  <si>
    <t>Cell Production 10</t>
  </si>
  <si>
    <t>TEST 8</t>
  </si>
  <si>
    <t>Cell Production 11</t>
  </si>
  <si>
    <t>TEST 9</t>
  </si>
  <si>
    <t>Cell Production 12</t>
  </si>
  <si>
    <t>TEST 10</t>
  </si>
  <si>
    <t>Cell Production 13</t>
  </si>
  <si>
    <t>TEST 11</t>
  </si>
  <si>
    <t>Cell Production 14</t>
  </si>
  <si>
    <t>TEST 12</t>
  </si>
  <si>
    <t>Cell Production 15</t>
  </si>
  <si>
    <t>TEST 13</t>
  </si>
  <si>
    <t>Cell Production 16</t>
  </si>
  <si>
    <t>TEST 14</t>
  </si>
  <si>
    <t>Cell Production 17</t>
  </si>
  <si>
    <t>TEST 15</t>
  </si>
  <si>
    <t>Cell Production 18</t>
  </si>
  <si>
    <t>TEST 16</t>
  </si>
  <si>
    <t>Cell Production 19</t>
  </si>
  <si>
    <t>TEST 17</t>
  </si>
  <si>
    <t>Cell Production 20</t>
  </si>
  <si>
    <t>TEST 18</t>
  </si>
  <si>
    <t>Cell Production 21</t>
  </si>
  <si>
    <t>TEST 19</t>
  </si>
  <si>
    <t>Cell Production 22</t>
  </si>
  <si>
    <t>TEST 20</t>
  </si>
  <si>
    <t>Cell Production 23</t>
  </si>
  <si>
    <t>TEST 21</t>
  </si>
  <si>
    <t>Cell Production 24</t>
  </si>
  <si>
    <t>TEST 22</t>
  </si>
  <si>
    <t>Cell Production 25</t>
  </si>
  <si>
    <t>TEST 23</t>
  </si>
  <si>
    <t>Cell Production 26</t>
  </si>
  <si>
    <t>TEST 24</t>
  </si>
  <si>
    <t>Cell Production 27</t>
  </si>
  <si>
    <t>TEST 25</t>
  </si>
  <si>
    <t>Cell Production 28</t>
  </si>
  <si>
    <t>TEST 26</t>
  </si>
  <si>
    <t>Cell Production 29</t>
  </si>
  <si>
    <t>TEST 27</t>
  </si>
  <si>
    <t>Cell Production 30</t>
  </si>
  <si>
    <t>TEST 28</t>
  </si>
  <si>
    <t>Cell Production 31</t>
  </si>
  <si>
    <t>TEST 29</t>
  </si>
  <si>
    <t>Cell Production 32</t>
  </si>
  <si>
    <t>TEST 30</t>
  </si>
  <si>
    <t>Cell Production 33</t>
  </si>
  <si>
    <t>TEST 31</t>
  </si>
  <si>
    <t>Cell Production 34</t>
  </si>
  <si>
    <t>TEST 32</t>
  </si>
  <si>
    <t>Cell Production 35</t>
  </si>
  <si>
    <t>TEST 33</t>
  </si>
  <si>
    <t>Cell Production 36</t>
  </si>
  <si>
    <t>TEST 34</t>
  </si>
  <si>
    <t>Cell Production 37</t>
  </si>
  <si>
    <t>TEST 35</t>
  </si>
  <si>
    <t>Cell Production 38</t>
  </si>
  <si>
    <t>TEST 36</t>
  </si>
  <si>
    <t>Cell Production 39</t>
  </si>
  <si>
    <t>TEST 37</t>
  </si>
  <si>
    <t>Cell Production 40</t>
  </si>
  <si>
    <t>TEST 38</t>
  </si>
  <si>
    <t>Cell Production 41</t>
  </si>
  <si>
    <t>TEST 39</t>
  </si>
  <si>
    <t>Cell Production 42</t>
  </si>
  <si>
    <t>TEST 40</t>
  </si>
  <si>
    <t>Cell Production 43</t>
  </si>
  <si>
    <t>TEST 41</t>
  </si>
  <si>
    <t>Cell Production 44</t>
  </si>
  <si>
    <t>TEST 42</t>
  </si>
  <si>
    <t>Cell Production 45</t>
  </si>
  <si>
    <t>TEST 43</t>
  </si>
  <si>
    <t>Cell Production 46</t>
  </si>
  <si>
    <t>TEST 44</t>
  </si>
  <si>
    <t>Cell Production 47</t>
  </si>
  <si>
    <t>TEST 45</t>
  </si>
  <si>
    <t>Cell Production 48</t>
  </si>
  <si>
    <t>TEST 46</t>
  </si>
  <si>
    <t>Cell Production 49</t>
  </si>
  <si>
    <t>TEST 47</t>
  </si>
  <si>
    <t>Cell Production 50</t>
  </si>
  <si>
    <t>TEST 48</t>
  </si>
  <si>
    <t>Cell Production 51</t>
  </si>
  <si>
    <t>TEST 49</t>
  </si>
  <si>
    <t>Cell Production 52</t>
  </si>
  <si>
    <t>TEST 50</t>
  </si>
  <si>
    <t>Cell Production 53</t>
  </si>
  <si>
    <t>TEST 51</t>
  </si>
  <si>
    <t>Cell Production 54</t>
  </si>
  <si>
    <t>TEST 52</t>
  </si>
  <si>
    <t>Cell Production 55</t>
  </si>
  <si>
    <t>TEST 53</t>
  </si>
  <si>
    <t>Cell Production 56</t>
  </si>
  <si>
    <t>TEST 54</t>
  </si>
  <si>
    <t>Cell Production 57</t>
  </si>
  <si>
    <t>TEST 55</t>
  </si>
  <si>
    <t>Cell Production 58</t>
  </si>
  <si>
    <t>TEST 56</t>
  </si>
  <si>
    <t>Cell Production 59</t>
  </si>
  <si>
    <t>TEST 57</t>
  </si>
  <si>
    <t>Cell Production 60</t>
  </si>
  <si>
    <t>TEST 58</t>
  </si>
  <si>
    <t>Cell Production 61</t>
  </si>
  <si>
    <t>TEST 59</t>
  </si>
  <si>
    <t>Cell Production 62</t>
  </si>
  <si>
    <t>TEST 60</t>
  </si>
  <si>
    <t>Cell Production 63</t>
  </si>
  <si>
    <t>TEST 61</t>
  </si>
  <si>
    <t>Cell Production 64</t>
  </si>
  <si>
    <t>TEST 62</t>
  </si>
  <si>
    <t>Cell Production 65</t>
  </si>
  <si>
    <t>TEST 63</t>
  </si>
  <si>
    <t>Cell Production 66</t>
  </si>
  <si>
    <t>TEST 64</t>
  </si>
  <si>
    <t>Cell Production 67</t>
  </si>
  <si>
    <t>TEST 65</t>
  </si>
  <si>
    <t>Cell Production 68</t>
  </si>
  <si>
    <t>TEST 66</t>
  </si>
  <si>
    <t>Cell Production 69</t>
  </si>
  <si>
    <t>TEST 67</t>
  </si>
  <si>
    <t>Cell Production 70</t>
  </si>
  <si>
    <t>TEST 68</t>
  </si>
  <si>
    <t>Cell Production 71</t>
  </si>
  <si>
    <t>TEST 69</t>
  </si>
  <si>
    <t>Cell Production 72</t>
  </si>
  <si>
    <t>TEST 70</t>
  </si>
  <si>
    <t>Cell Production 73</t>
  </si>
  <si>
    <t>TEST 71</t>
  </si>
  <si>
    <t>Cell Production 74</t>
  </si>
  <si>
    <t>TEST 72</t>
  </si>
  <si>
    <t>Cell Production 75</t>
  </si>
  <si>
    <t>TEST 73</t>
  </si>
  <si>
    <t>Cell Production 76</t>
  </si>
  <si>
    <t>TEST 74</t>
  </si>
  <si>
    <t>Cell Production 77</t>
  </si>
  <si>
    <t>TEST 75</t>
  </si>
  <si>
    <t>Cell Production 78</t>
  </si>
  <si>
    <t>TEST 76</t>
  </si>
  <si>
    <t>Cell Production 79</t>
  </si>
  <si>
    <t>TEST 77</t>
  </si>
  <si>
    <t>Cell Production 80</t>
  </si>
  <si>
    <t>TEST 78</t>
  </si>
  <si>
    <t>Cell Production 81</t>
  </si>
  <si>
    <t>TEST 79</t>
  </si>
  <si>
    <t>Cell Production 82</t>
  </si>
  <si>
    <t>TEST 80</t>
  </si>
  <si>
    <t>Cell Production 83</t>
  </si>
  <si>
    <t>TEST 81</t>
  </si>
  <si>
    <t>Cell Production 84</t>
  </si>
  <si>
    <t>TEST 82</t>
  </si>
  <si>
    <t>Cell Production 85</t>
  </si>
  <si>
    <t>TEST 83</t>
  </si>
  <si>
    <t>Cell Production 86</t>
  </si>
  <si>
    <t>TEST 84</t>
  </si>
  <si>
    <t>Cell Production 87</t>
  </si>
  <si>
    <t>TEST 85</t>
  </si>
  <si>
    <t>Cell Production 88</t>
  </si>
  <si>
    <t>TEST 86</t>
  </si>
  <si>
    <t>Cell Production 89</t>
  </si>
  <si>
    <t>TEST 87</t>
  </si>
  <si>
    <t>Cell Production 90</t>
  </si>
  <si>
    <t>TEST 88</t>
  </si>
  <si>
    <t>Cell Production 91</t>
  </si>
  <si>
    <t>TEST 89</t>
  </si>
  <si>
    <t>Cell Production 92</t>
  </si>
  <si>
    <t>TEST 90</t>
  </si>
  <si>
    <t>Cell Production 93</t>
  </si>
  <si>
    <t>TEST 91</t>
  </si>
  <si>
    <t>Cell Production 94</t>
  </si>
  <si>
    <t>TEST 92</t>
  </si>
  <si>
    <t>Cell Production 95</t>
  </si>
  <si>
    <t>TEST 93</t>
  </si>
  <si>
    <t>Cell Production 96</t>
  </si>
  <si>
    <t>TEST 94</t>
  </si>
  <si>
    <t>Cell Production 97</t>
  </si>
  <si>
    <t>TEST 95</t>
  </si>
  <si>
    <t>Cell Production 98</t>
  </si>
  <si>
    <t>NIP67060</t>
  </si>
  <si>
    <t>NIP67061</t>
  </si>
  <si>
    <t>NIP67062</t>
  </si>
  <si>
    <t>NIP67063</t>
  </si>
  <si>
    <t>NIP67064</t>
  </si>
  <si>
    <t>NIP67065</t>
  </si>
  <si>
    <t>NIP67066</t>
  </si>
  <si>
    <t>NIP67067</t>
  </si>
  <si>
    <t>NIP67068</t>
  </si>
  <si>
    <t>NIP67069</t>
  </si>
  <si>
    <t>NIP67070</t>
  </si>
  <si>
    <t>NIP67071</t>
  </si>
  <si>
    <t>NIP67072</t>
  </si>
  <si>
    <t>NIP67073</t>
  </si>
  <si>
    <t>NIP67074</t>
  </si>
  <si>
    <t>NIP67075</t>
  </si>
  <si>
    <t>NIP67076</t>
  </si>
  <si>
    <t>NIP67077</t>
  </si>
  <si>
    <t>NIP67078</t>
  </si>
  <si>
    <t>NIP67079</t>
  </si>
  <si>
    <t>NIP67080</t>
  </si>
  <si>
    <t>NIP67081</t>
  </si>
  <si>
    <t>NIP67082</t>
  </si>
  <si>
    <t>NIP67083</t>
  </si>
  <si>
    <t>NIP67084</t>
  </si>
  <si>
    <t>NIP67085</t>
  </si>
  <si>
    <t>NIP67086</t>
  </si>
  <si>
    <t>NIP67087</t>
  </si>
  <si>
    <t>NIP67088</t>
  </si>
  <si>
    <t>NIP67089</t>
  </si>
  <si>
    <t>NIP67090</t>
  </si>
  <si>
    <t>NIP67091</t>
  </si>
  <si>
    <t>NIP67092</t>
  </si>
  <si>
    <t>NIP67093</t>
  </si>
  <si>
    <t>NIP67094</t>
  </si>
  <si>
    <t>NIP67095</t>
  </si>
  <si>
    <t>NIP67096</t>
  </si>
  <si>
    <t>NIP67097</t>
  </si>
  <si>
    <t>NIP67098</t>
  </si>
  <si>
    <t>NIP67099</t>
  </si>
  <si>
    <t>NIP67100</t>
  </si>
  <si>
    <t>NIP67101</t>
  </si>
  <si>
    <t>NIP67102</t>
  </si>
  <si>
    <t>NIP67103</t>
  </si>
  <si>
    <t>NIP67104</t>
  </si>
  <si>
    <t>NIP67105</t>
  </si>
  <si>
    <t>NIP67106</t>
  </si>
  <si>
    <t>NIP67107</t>
  </si>
  <si>
    <t>NIP67108</t>
  </si>
  <si>
    <t>NIP67109</t>
  </si>
  <si>
    <t>NIP67110</t>
  </si>
  <si>
    <t>NIP67111</t>
  </si>
  <si>
    <t>NIP67112</t>
  </si>
  <si>
    <t>NIP67113</t>
  </si>
  <si>
    <t>NIP67114</t>
  </si>
  <si>
    <t>NIP67115</t>
  </si>
  <si>
    <t>NIP67116</t>
  </si>
  <si>
    <t>NIP67117</t>
  </si>
  <si>
    <t>NIP67118</t>
  </si>
  <si>
    <t>NIP67119</t>
  </si>
  <si>
    <t>NIP67120</t>
  </si>
  <si>
    <t>NIP67121</t>
  </si>
  <si>
    <t>NIP67122</t>
  </si>
  <si>
    <t>NIP67123</t>
  </si>
  <si>
    <t>NIP67124</t>
  </si>
  <si>
    <t>NIP67125</t>
  </si>
  <si>
    <t>NIP67126</t>
  </si>
  <si>
    <t>NIP67127</t>
  </si>
  <si>
    <t>NIP67128</t>
  </si>
  <si>
    <t>NIP67129</t>
  </si>
  <si>
    <t>NIP67130</t>
  </si>
  <si>
    <t>NIP67131</t>
  </si>
  <si>
    <t>NIP67132</t>
  </si>
  <si>
    <t>NIP67133</t>
  </si>
  <si>
    <t>NIP67134</t>
  </si>
  <si>
    <t>NIP67135</t>
  </si>
  <si>
    <t>NIP67136</t>
  </si>
  <si>
    <t>NIP67137</t>
  </si>
  <si>
    <t>NIP67138</t>
  </si>
  <si>
    <t>NIP67139</t>
  </si>
  <si>
    <t>NIP67140</t>
  </si>
  <si>
    <t>NIP67141</t>
  </si>
  <si>
    <t>NIP67142</t>
  </si>
  <si>
    <t>NIP67143</t>
  </si>
  <si>
    <t>NIP67144</t>
  </si>
  <si>
    <t>NIP67145</t>
  </si>
  <si>
    <t>NIP67146</t>
  </si>
  <si>
    <t>NIP67147</t>
  </si>
  <si>
    <t>NIP67148</t>
  </si>
  <si>
    <t>NIP67149</t>
  </si>
  <si>
    <t>NIP67150</t>
  </si>
  <si>
    <t>NIP67151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</si>
</sst>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0\ 0000\ 00000\ 00\ 0"/>
    <numFmt numFmtId="167" formatCode="_-* #,##0_-;\-* #,##0_-;_-* &quot;-&quot;??_-;_-@_-"/>
    <numFmt numFmtId="168" formatCode="_-* #,##0.0_-;\-* #,##0.0_-;_-* &quot;-&quot;??_-;_-@_-"/>
    <numFmt numFmtId="169" formatCode="d\-mmm\-yy;@"/>
    <numFmt numFmtId="170" formatCode="_-* #,##0.00_-;\-* #,##0.00_-;_-* \-??_-;_-@_-"/>
    <numFmt numFmtId="171" formatCode="[$-409]mmm\-yy;@"/>
  </numFmts>
  <fonts count="2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b/>
      <sz val="16"/>
      <name val="Cordia New"/>
      <family val="2"/>
    </font>
    <font>
      <sz val="10"/>
      <name val="Arial"/>
      <family val="2"/>
    </font>
    <font>
      <sz val="16"/>
      <color theme="1"/>
      <name val="Cordia New"/>
      <family val="2"/>
    </font>
    <font>
      <sz val="16"/>
      <name val="Cordia New"/>
      <family val="2"/>
    </font>
    <font>
      <b/>
      <sz val="16"/>
      <color theme="1"/>
      <name val="Cordia Ne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3"/>
      <charset val="128"/>
      <scheme val="minor"/>
    </font>
    <font>
      <sz val="16"/>
      <name val="AngsanaUPC"/>
      <family val="1"/>
    </font>
    <font>
      <b/>
      <sz val="16"/>
      <name val="AngsanaUPC"/>
      <family val="1"/>
    </font>
    <font>
      <b/>
      <sz val="18"/>
      <name val="AngsanaUPC"/>
      <family val="1"/>
    </font>
    <font>
      <sz val="18"/>
      <name val="AngsanaUPC"/>
      <family val="1"/>
    </font>
    <font>
      <b/>
      <sz val="16"/>
      <color indexed="81"/>
      <name val="AngsanaUPC"/>
      <family val="1"/>
    </font>
    <font>
      <b/>
      <sz val="16"/>
      <name val="Angsana New"/>
      <family val="1"/>
    </font>
    <font>
      <sz val="16"/>
      <name val="Angsana New"/>
      <family val="1"/>
    </font>
    <font>
      <sz val="10"/>
      <name val="Tahoma"/>
      <family val="2"/>
    </font>
    <font>
      <sz val="24"/>
      <name val="Cordia New"/>
      <family val="2"/>
    </font>
    <font>
      <sz val="16"/>
      <color rgb="FFFF0000"/>
      <name val="Angsana New"/>
      <family val="1"/>
    </font>
    <font>
      <b/>
      <sz val="16"/>
      <name val="Arial Narrow"/>
      <family val="2"/>
    </font>
    <font>
      <b/>
      <sz val="18"/>
      <name val="Cordia New"/>
      <family val="2"/>
    </font>
    <font>
      <b/>
      <sz val="20"/>
      <name val="Cordia New"/>
      <family val="2"/>
    </font>
    <font>
      <sz val="6"/>
      <name val="Calibri"/>
      <family val="3"/>
      <charset val="128"/>
      <scheme val="minor"/>
    </font>
    <font>
      <sz val="16"/>
      <name val="游ゴシック"/>
      <family val="2"/>
      <charset val="128"/>
    </font>
    <font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D5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" fillId="0" borderId="0"/>
    <xf numFmtId="0" fontId="4" fillId="0" borderId="0" applyFill="0" applyBorder="0" applyAlignment="0" applyProtection="0"/>
    <xf numFmtId="0" fontId="6" fillId="0" borderId="0"/>
    <xf numFmtId="0" fontId="3" fillId="0" borderId="0"/>
    <xf numFmtId="0" fontId="10" fillId="0" borderId="0"/>
    <xf numFmtId="0" fontId="11" fillId="0" borderId="0"/>
    <xf numFmtId="0" fontId="12" fillId="0" borderId="0"/>
    <xf numFmtId="0" fontId="2" fillId="0" borderId="0"/>
    <xf numFmtId="165" fontId="1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</cellStyleXfs>
  <cellXfs count="247">
    <xf numFmtId="0" fontId="0" fillId="0" borderId="0" xfId="0"/>
    <xf numFmtId="165" fontId="5" fillId="0" borderId="0" xfId="2" applyFont="1" applyAlignment="1">
      <alignment vertical="center"/>
    </xf>
    <xf numFmtId="165" fontId="5" fillId="4" borderId="2" xfId="3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166" fontId="7" fillId="0" borderId="1" xfId="6" applyNumberFormat="1" applyFont="1" applyBorder="1" applyAlignment="1">
      <alignment horizontal="center" vertical="center" shrinkToFit="1"/>
    </xf>
    <xf numFmtId="0" fontId="7" fillId="0" borderId="1" xfId="6" applyFont="1" applyBorder="1" applyAlignment="1">
      <alignment horizontal="center" vertical="center" shrinkToFit="1"/>
    </xf>
    <xf numFmtId="14" fontId="7" fillId="0" borderId="1" xfId="6" applyNumberFormat="1" applyFont="1" applyBorder="1" applyAlignment="1">
      <alignment horizontal="center" vertical="center" shrinkToFit="1"/>
    </xf>
    <xf numFmtId="14" fontId="7" fillId="0" borderId="1" xfId="3" applyNumberFormat="1" applyFont="1" applyFill="1" applyBorder="1" applyAlignment="1">
      <alignment horizontal="center" vertical="center" shrinkToFit="1"/>
    </xf>
    <xf numFmtId="165" fontId="7" fillId="0" borderId="1" xfId="3" applyFont="1" applyFill="1" applyBorder="1" applyAlignment="1">
      <alignment horizontal="center" vertical="center" shrinkToFit="1"/>
    </xf>
    <xf numFmtId="168" fontId="7" fillId="0" borderId="1" xfId="3" applyNumberFormat="1" applyFont="1" applyFill="1" applyBorder="1" applyAlignment="1">
      <alignment horizontal="center" vertical="center" shrinkToFit="1"/>
    </xf>
    <xf numFmtId="165" fontId="9" fillId="0" borderId="1" xfId="3" applyFont="1" applyFill="1" applyBorder="1" applyAlignment="1">
      <alignment horizontal="center" vertical="center" shrinkToFit="1"/>
    </xf>
    <xf numFmtId="165" fontId="7" fillId="0" borderId="1" xfId="3" applyFont="1" applyFill="1" applyBorder="1" applyAlignment="1">
      <alignment vertical="center" shrinkToFit="1"/>
    </xf>
    <xf numFmtId="170" fontId="7" fillId="0" borderId="1" xfId="1" applyNumberFormat="1" applyFont="1" applyBorder="1" applyAlignment="1">
      <alignment horizontal="center" vertical="center" shrinkToFit="1"/>
    </xf>
    <xf numFmtId="165" fontId="7" fillId="0" borderId="1" xfId="1" applyNumberFormat="1" applyFont="1" applyBorder="1" applyAlignment="1">
      <alignment horizontal="center" vertical="center" shrinkToFit="1"/>
    </xf>
    <xf numFmtId="165" fontId="7" fillId="0" borderId="1" xfId="2" applyFont="1" applyFill="1" applyBorder="1" applyAlignment="1">
      <alignment horizontal="center" vertical="center"/>
    </xf>
    <xf numFmtId="170" fontId="7" fillId="0" borderId="0" xfId="1" applyNumberFormat="1" applyFont="1" applyAlignment="1">
      <alignment horizontal="center" vertical="center" shrinkToFit="1"/>
    </xf>
    <xf numFmtId="0" fontId="8" fillId="0" borderId="0" xfId="1" applyFont="1" applyAlignment="1">
      <alignment horizontal="center" vertical="center"/>
    </xf>
    <xf numFmtId="165" fontId="5" fillId="0" borderId="0" xfId="2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166" fontId="8" fillId="0" borderId="0" xfId="1" applyNumberFormat="1" applyFont="1" applyAlignment="1">
      <alignment horizontal="center" vertical="center"/>
    </xf>
    <xf numFmtId="165" fontId="8" fillId="0" borderId="0" xfId="3" applyFont="1" applyAlignment="1">
      <alignment horizontal="center" vertical="center"/>
    </xf>
    <xf numFmtId="14" fontId="8" fillId="0" borderId="0" xfId="1" applyNumberFormat="1" applyFont="1" applyAlignment="1">
      <alignment horizontal="center" vertical="center"/>
    </xf>
    <xf numFmtId="167" fontId="8" fillId="0" borderId="0" xfId="3" applyNumberFormat="1" applyFont="1" applyAlignment="1">
      <alignment horizontal="center" vertical="center"/>
    </xf>
    <xf numFmtId="168" fontId="8" fillId="0" borderId="0" xfId="3" applyNumberFormat="1" applyFont="1" applyAlignment="1">
      <alignment horizontal="center" vertical="center"/>
    </xf>
    <xf numFmtId="165" fontId="5" fillId="0" borderId="0" xfId="3" applyFont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" fontId="8" fillId="0" borderId="0" xfId="1" applyNumberFormat="1" applyFont="1" applyAlignment="1">
      <alignment horizontal="center" vertical="center"/>
    </xf>
    <xf numFmtId="167" fontId="8" fillId="0" borderId="0" xfId="3" applyNumberFormat="1" applyFont="1" applyAlignment="1">
      <alignment horizontal="left" vertical="center"/>
    </xf>
    <xf numFmtId="166" fontId="8" fillId="0" borderId="0" xfId="1" applyNumberFormat="1" applyFont="1" applyAlignment="1">
      <alignment vertical="center"/>
    </xf>
    <xf numFmtId="165" fontId="8" fillId="0" borderId="0" xfId="3" applyFont="1" applyAlignment="1">
      <alignment vertical="center"/>
    </xf>
    <xf numFmtId="14" fontId="8" fillId="0" borderId="0" xfId="1" applyNumberFormat="1" applyFont="1" applyAlignment="1">
      <alignment vertical="center"/>
    </xf>
    <xf numFmtId="167" fontId="8" fillId="0" borderId="0" xfId="3" applyNumberFormat="1" applyFont="1" applyAlignment="1">
      <alignment vertical="center"/>
    </xf>
    <xf numFmtId="165" fontId="5" fillId="0" borderId="0" xfId="3" applyFont="1" applyAlignment="1">
      <alignment vertical="center"/>
    </xf>
    <xf numFmtId="165" fontId="8" fillId="3" borderId="0" xfId="3" applyFont="1" applyFill="1" applyAlignment="1">
      <alignment vertical="center"/>
    </xf>
    <xf numFmtId="165" fontId="5" fillId="3" borderId="0" xfId="3" applyFont="1" applyFill="1" applyAlignment="1">
      <alignment vertical="center"/>
    </xf>
    <xf numFmtId="0" fontId="5" fillId="4" borderId="7" xfId="1" applyFont="1" applyFill="1" applyBorder="1" applyAlignment="1">
      <alignment vertical="center" wrapText="1"/>
    </xf>
    <xf numFmtId="167" fontId="5" fillId="4" borderId="2" xfId="3" applyNumberFormat="1" applyFont="1" applyFill="1" applyBorder="1" applyAlignment="1">
      <alignment horizontal="center" vertical="center" wrapText="1"/>
    </xf>
    <xf numFmtId="168" fontId="5" fillId="4" borderId="2" xfId="3" applyNumberFormat="1" applyFont="1" applyFill="1" applyBorder="1" applyAlignment="1">
      <alignment horizontal="center" vertical="center" wrapText="1"/>
    </xf>
    <xf numFmtId="167" fontId="5" fillId="4" borderId="1" xfId="3" applyNumberFormat="1" applyFont="1" applyFill="1" applyBorder="1" applyAlignment="1">
      <alignment horizontal="center" vertical="center" wrapText="1"/>
    </xf>
    <xf numFmtId="165" fontId="7" fillId="0" borderId="7" xfId="3" applyFont="1" applyFill="1" applyBorder="1" applyAlignment="1">
      <alignment horizontal="center" vertical="center" shrinkToFit="1"/>
    </xf>
    <xf numFmtId="1" fontId="8" fillId="0" borderId="0" xfId="1" applyNumberFormat="1" applyFont="1" applyAlignment="1">
      <alignment vertical="center"/>
    </xf>
    <xf numFmtId="0" fontId="8" fillId="7" borderId="0" xfId="1" applyFont="1" applyFill="1" applyAlignment="1">
      <alignment horizontal="left" vertical="center"/>
    </xf>
    <xf numFmtId="169" fontId="8" fillId="0" borderId="0" xfId="1" applyNumberFormat="1" applyFont="1" applyAlignment="1">
      <alignment vertical="center"/>
    </xf>
    <xf numFmtId="165" fontId="5" fillId="8" borderId="2" xfId="3" applyFont="1" applyFill="1" applyBorder="1" applyAlignment="1">
      <alignment horizontal="center" vertical="center" wrapText="1"/>
    </xf>
    <xf numFmtId="165" fontId="5" fillId="9" borderId="2" xfId="3" applyFont="1" applyFill="1" applyBorder="1" applyAlignment="1">
      <alignment horizontal="center" vertical="center" wrapText="1"/>
    </xf>
    <xf numFmtId="165" fontId="5" fillId="9" borderId="4" xfId="3" applyFont="1" applyFill="1" applyBorder="1" applyAlignment="1">
      <alignment horizontal="center" vertical="center" wrapText="1"/>
    </xf>
    <xf numFmtId="165" fontId="5" fillId="10" borderId="31" xfId="3" applyFont="1" applyFill="1" applyBorder="1" applyAlignment="1">
      <alignment horizontal="center" vertical="center" wrapText="1"/>
    </xf>
    <xf numFmtId="165" fontId="5" fillId="10" borderId="2" xfId="3" applyFont="1" applyFill="1" applyBorder="1" applyAlignment="1">
      <alignment horizontal="center" vertical="center" wrapText="1"/>
    </xf>
    <xf numFmtId="165" fontId="5" fillId="10" borderId="32" xfId="3" applyFont="1" applyFill="1" applyBorder="1" applyAlignment="1">
      <alignment horizontal="center" vertical="center" wrapText="1"/>
    </xf>
    <xf numFmtId="165" fontId="8" fillId="0" borderId="1" xfId="7" applyNumberFormat="1" applyFont="1" applyBorder="1"/>
    <xf numFmtId="1" fontId="5" fillId="11" borderId="5" xfId="1" applyNumberFormat="1" applyFont="1" applyFill="1" applyBorder="1" applyAlignment="1">
      <alignment horizontal="center" vertical="center"/>
    </xf>
    <xf numFmtId="1" fontId="5" fillId="11" borderId="6" xfId="1" applyNumberFormat="1" applyFont="1" applyFill="1" applyBorder="1" applyAlignment="1">
      <alignment horizontal="center" vertical="center"/>
    </xf>
    <xf numFmtId="1" fontId="5" fillId="11" borderId="7" xfId="1" applyNumberFormat="1" applyFont="1" applyFill="1" applyBorder="1" applyAlignment="1">
      <alignment horizontal="center" vertical="center"/>
    </xf>
    <xf numFmtId="165" fontId="5" fillId="11" borderId="1" xfId="3" applyFont="1" applyFill="1" applyBorder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165" fontId="8" fillId="0" borderId="1" xfId="3" applyFont="1" applyFill="1" applyBorder="1" applyAlignment="1">
      <alignment horizontal="center" vertical="center" shrinkToFit="1"/>
    </xf>
    <xf numFmtId="170" fontId="8" fillId="0" borderId="1" xfId="1" applyNumberFormat="1" applyFont="1" applyBorder="1" applyAlignment="1">
      <alignment horizontal="center" vertical="center" shrinkToFit="1"/>
    </xf>
    <xf numFmtId="170" fontId="8" fillId="0" borderId="0" xfId="1" applyNumberFormat="1" applyFont="1" applyAlignment="1">
      <alignment horizontal="center" vertical="center" shrinkToFit="1"/>
    </xf>
    <xf numFmtId="0" fontId="13" fillId="0" borderId="0" xfId="1" applyFont="1"/>
    <xf numFmtId="0" fontId="13" fillId="0" borderId="0" xfId="1" applyFont="1" applyAlignment="1">
      <alignment horizontal="centerContinuous"/>
    </xf>
    <xf numFmtId="0" fontId="13" fillId="0" borderId="14" xfId="1" applyFont="1" applyBorder="1" applyAlignment="1">
      <alignment vertical="center"/>
    </xf>
    <xf numFmtId="0" fontId="13" fillId="0" borderId="0" xfId="1" applyFont="1" applyAlignment="1">
      <alignment vertical="center"/>
    </xf>
    <xf numFmtId="166" fontId="14" fillId="0" borderId="0" xfId="1" applyNumberFormat="1" applyFont="1" applyAlignment="1">
      <alignment horizontal="left" vertical="center"/>
    </xf>
    <xf numFmtId="165" fontId="14" fillId="0" borderId="0" xfId="3" applyFont="1" applyAlignment="1">
      <alignment horizontal="left" vertical="center"/>
    </xf>
    <xf numFmtId="2" fontId="13" fillId="0" borderId="0" xfId="1" applyNumberFormat="1" applyFont="1" applyAlignment="1">
      <alignment vertical="center"/>
    </xf>
    <xf numFmtId="0" fontId="14" fillId="0" borderId="14" xfId="1" applyFont="1" applyBorder="1" applyAlignment="1">
      <alignment vertical="center"/>
    </xf>
    <xf numFmtId="41" fontId="13" fillId="0" borderId="0" xfId="1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2" fontId="13" fillId="0" borderId="0" xfId="1" applyNumberFormat="1" applyFont="1"/>
    <xf numFmtId="0" fontId="15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5" fillId="0" borderId="0" xfId="1" applyFont="1" applyAlignment="1">
      <alignment horizontal="centerContinuous" vertical="center"/>
    </xf>
    <xf numFmtId="0" fontId="16" fillId="0" borderId="12" xfId="1" applyFont="1" applyBorder="1" applyAlignment="1">
      <alignment vertical="center"/>
    </xf>
    <xf numFmtId="0" fontId="16" fillId="0" borderId="14" xfId="1" applyFont="1" applyBorder="1" applyAlignment="1">
      <alignment vertical="center"/>
    </xf>
    <xf numFmtId="0" fontId="16" fillId="0" borderId="16" xfId="1" applyFont="1" applyBorder="1" applyAlignment="1">
      <alignment horizontal="left" vertical="center"/>
    </xf>
    <xf numFmtId="171" fontId="15" fillId="0" borderId="13" xfId="1" applyNumberFormat="1" applyFont="1" applyBorder="1" applyAlignment="1">
      <alignment horizontal="center" vertical="center"/>
    </xf>
    <xf numFmtId="1" fontId="15" fillId="0" borderId="15" xfId="1" applyNumberFormat="1" applyFont="1" applyBorder="1" applyAlignment="1">
      <alignment horizontal="center" vertical="center"/>
    </xf>
    <xf numFmtId="166" fontId="15" fillId="0" borderId="17" xfId="1" applyNumberFormat="1" applyFont="1" applyBorder="1" applyAlignment="1">
      <alignment horizontal="center" vertical="center"/>
    </xf>
    <xf numFmtId="165" fontId="15" fillId="0" borderId="0" xfId="3" applyFont="1" applyAlignment="1">
      <alignment horizontal="left" vertical="center"/>
    </xf>
    <xf numFmtId="41" fontId="16" fillId="0" borderId="0" xfId="1" applyNumberFormat="1" applyFont="1" applyAlignment="1">
      <alignment vertical="center"/>
    </xf>
    <xf numFmtId="0" fontId="15" fillId="0" borderId="12" xfId="1" applyFont="1" applyBorder="1" applyAlignment="1">
      <alignment vertical="center"/>
    </xf>
    <xf numFmtId="0" fontId="15" fillId="0" borderId="16" xfId="1" applyFont="1" applyBorder="1" applyAlignment="1">
      <alignment vertical="center"/>
    </xf>
    <xf numFmtId="2" fontId="16" fillId="0" borderId="0" xfId="1" applyNumberFormat="1" applyFont="1" applyAlignment="1">
      <alignment vertical="center"/>
    </xf>
    <xf numFmtId="0" fontId="15" fillId="0" borderId="14" xfId="1" applyFont="1" applyBorder="1" applyAlignment="1">
      <alignment vertical="center"/>
    </xf>
    <xf numFmtId="0" fontId="15" fillId="0" borderId="14" xfId="1" applyFont="1" applyBorder="1"/>
    <xf numFmtId="0" fontId="15" fillId="0" borderId="16" xfId="1" applyFont="1" applyBorder="1" applyAlignment="1">
      <alignment vertical="top"/>
    </xf>
    <xf numFmtId="165" fontId="7" fillId="0" borderId="11" xfId="3" applyFont="1" applyFill="1" applyBorder="1" applyAlignment="1">
      <alignment horizontal="center" vertical="center" shrinkToFit="1"/>
    </xf>
    <xf numFmtId="164" fontId="7" fillId="0" borderId="1" xfId="3" applyNumberFormat="1" applyFont="1" applyFill="1" applyBorder="1" applyAlignment="1">
      <alignment horizontal="center" vertical="center" shrinkToFit="1"/>
    </xf>
    <xf numFmtId="0" fontId="5" fillId="5" borderId="0" xfId="1" applyFont="1" applyFill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65" fontId="5" fillId="4" borderId="25" xfId="3" applyFont="1" applyFill="1" applyBorder="1" applyAlignment="1">
      <alignment horizontal="center" vertical="center" wrapText="1"/>
    </xf>
    <xf numFmtId="0" fontId="19" fillId="0" borderId="12" xfId="1" applyFont="1" applyBorder="1"/>
    <xf numFmtId="0" fontId="19" fillId="0" borderId="13" xfId="1" applyFont="1" applyBorder="1"/>
    <xf numFmtId="0" fontId="19" fillId="0" borderId="16" xfId="1" applyFont="1" applyBorder="1"/>
    <xf numFmtId="0" fontId="19" fillId="0" borderId="17" xfId="1" applyFont="1" applyBorder="1"/>
    <xf numFmtId="0" fontId="19" fillId="0" borderId="12" xfId="1" applyFont="1" applyBorder="1" applyAlignment="1">
      <alignment vertical="center"/>
    </xf>
    <xf numFmtId="168" fontId="18" fillId="0" borderId="0" xfId="3" applyNumberFormat="1" applyFont="1" applyAlignment="1">
      <alignment horizontal="left" vertical="center"/>
    </xf>
    <xf numFmtId="0" fontId="19" fillId="0" borderId="18" xfId="1" applyFont="1" applyBorder="1" applyAlignment="1">
      <alignment vertical="center"/>
    </xf>
    <xf numFmtId="165" fontId="18" fillId="0" borderId="0" xfId="3" applyFont="1" applyAlignment="1">
      <alignment horizontal="left" vertical="center"/>
    </xf>
    <xf numFmtId="165" fontId="18" fillId="0" borderId="0" xfId="3" applyFont="1" applyAlignment="1">
      <alignment horizontal="center" vertical="center"/>
    </xf>
    <xf numFmtId="0" fontId="19" fillId="0" borderId="0" xfId="1" applyFont="1" applyAlignment="1">
      <alignment vertical="center"/>
    </xf>
    <xf numFmtId="168" fontId="18" fillId="0" borderId="0" xfId="3" applyNumberFormat="1" applyFont="1" applyBorder="1" applyAlignment="1">
      <alignment horizontal="left" vertical="center"/>
    </xf>
    <xf numFmtId="165" fontId="18" fillId="0" borderId="0" xfId="3" applyFont="1" applyBorder="1" applyAlignment="1">
      <alignment horizontal="left" vertical="center"/>
    </xf>
    <xf numFmtId="0" fontId="19" fillId="0" borderId="14" xfId="1" applyFont="1" applyBorder="1" applyAlignment="1">
      <alignment vertical="center"/>
    </xf>
    <xf numFmtId="168" fontId="19" fillId="0" borderId="0" xfId="3" applyNumberFormat="1" applyFont="1" applyAlignment="1">
      <alignment vertical="center"/>
    </xf>
    <xf numFmtId="168" fontId="19" fillId="0" borderId="0" xfId="3" applyNumberFormat="1" applyFont="1" applyBorder="1" applyAlignment="1">
      <alignment vertical="center"/>
    </xf>
    <xf numFmtId="0" fontId="13" fillId="0" borderId="37" xfId="1" applyFont="1" applyBorder="1" applyAlignment="1">
      <alignment vertical="center"/>
    </xf>
    <xf numFmtId="2" fontId="13" fillId="0" borderId="38" xfId="1" applyNumberFormat="1" applyFont="1" applyBorder="1" applyAlignment="1">
      <alignment vertical="center"/>
    </xf>
    <xf numFmtId="2" fontId="13" fillId="0" borderId="15" xfId="1" applyNumberFormat="1" applyFont="1" applyBorder="1" applyAlignment="1">
      <alignment vertical="center"/>
    </xf>
    <xf numFmtId="165" fontId="18" fillId="0" borderId="15" xfId="3" applyFont="1" applyBorder="1" applyAlignment="1">
      <alignment vertical="center"/>
    </xf>
    <xf numFmtId="165" fontId="18" fillId="0" borderId="15" xfId="3" applyFont="1" applyBorder="1" applyAlignment="1">
      <alignment horizontal="center" vertical="center"/>
    </xf>
    <xf numFmtId="165" fontId="18" fillId="0" borderId="14" xfId="3" applyFont="1" applyBorder="1" applyAlignment="1">
      <alignment vertical="center"/>
    </xf>
    <xf numFmtId="0" fontId="19" fillId="0" borderId="14" xfId="11" applyFont="1" applyBorder="1" applyAlignment="1">
      <alignment vertical="top"/>
    </xf>
    <xf numFmtId="0" fontId="19" fillId="0" borderId="14" xfId="1" applyFont="1" applyBorder="1" applyAlignment="1">
      <alignment horizontal="left" vertical="center"/>
    </xf>
    <xf numFmtId="2" fontId="19" fillId="0" borderId="15" xfId="1" applyNumberFormat="1" applyFont="1" applyBorder="1" applyAlignment="1">
      <alignment horizontal="center" vertical="center"/>
    </xf>
    <xf numFmtId="0" fontId="18" fillId="0" borderId="14" xfId="1" applyFont="1" applyBorder="1" applyAlignment="1">
      <alignment horizontal="left" vertical="center"/>
    </xf>
    <xf numFmtId="165" fontId="19" fillId="0" borderId="15" xfId="3" applyFont="1" applyBorder="1" applyAlignment="1">
      <alignment vertical="center"/>
    </xf>
    <xf numFmtId="2" fontId="19" fillId="0" borderId="0" xfId="1" applyNumberFormat="1" applyFont="1" applyAlignment="1">
      <alignment vertical="center"/>
    </xf>
    <xf numFmtId="0" fontId="19" fillId="0" borderId="14" xfId="0" applyFont="1" applyBorder="1"/>
    <xf numFmtId="0" fontId="18" fillId="0" borderId="14" xfId="1" applyFont="1" applyBorder="1" applyAlignment="1">
      <alignment vertical="center"/>
    </xf>
    <xf numFmtId="2" fontId="19" fillId="0" borderId="15" xfId="1" applyNumberFormat="1" applyFont="1" applyBorder="1" applyAlignment="1">
      <alignment vertical="center"/>
    </xf>
    <xf numFmtId="0" fontId="18" fillId="0" borderId="0" xfId="1" applyFont="1" applyAlignment="1">
      <alignment vertical="center"/>
    </xf>
    <xf numFmtId="0" fontId="19" fillId="0" borderId="15" xfId="1" applyFont="1" applyBorder="1" applyAlignment="1">
      <alignment vertical="center"/>
    </xf>
    <xf numFmtId="0" fontId="19" fillId="0" borderId="14" xfId="1" applyFont="1" applyBorder="1" applyAlignment="1">
      <alignment vertical="center" wrapText="1"/>
    </xf>
    <xf numFmtId="41" fontId="19" fillId="0" borderId="0" xfId="1" applyNumberFormat="1" applyFont="1" applyAlignment="1">
      <alignment vertical="center"/>
    </xf>
    <xf numFmtId="165" fontId="14" fillId="0" borderId="15" xfId="3" applyFont="1" applyBorder="1" applyAlignment="1">
      <alignment vertical="center"/>
    </xf>
    <xf numFmtId="165" fontId="14" fillId="0" borderId="0" xfId="3" applyFont="1" applyBorder="1" applyAlignment="1">
      <alignment horizontal="left" vertical="center"/>
    </xf>
    <xf numFmtId="165" fontId="15" fillId="0" borderId="17" xfId="3" applyFont="1" applyBorder="1" applyAlignment="1">
      <alignment vertical="center"/>
    </xf>
    <xf numFmtId="165" fontId="13" fillId="0" borderId="0" xfId="12" applyFont="1" applyBorder="1" applyAlignment="1">
      <alignment vertical="center"/>
    </xf>
    <xf numFmtId="0" fontId="20" fillId="0" borderId="14" xfId="13" applyFont="1" applyBorder="1"/>
    <xf numFmtId="165" fontId="15" fillId="0" borderId="15" xfId="3" applyFont="1" applyBorder="1" applyAlignment="1">
      <alignment vertical="center"/>
    </xf>
    <xf numFmtId="165" fontId="5" fillId="4" borderId="5" xfId="3" applyFont="1" applyFill="1" applyBorder="1" applyAlignment="1">
      <alignment vertical="center" wrapText="1"/>
    </xf>
    <xf numFmtId="165" fontId="5" fillId="4" borderId="6" xfId="3" applyFont="1" applyFill="1" applyBorder="1" applyAlignment="1">
      <alignment vertical="center" wrapText="1"/>
    </xf>
    <xf numFmtId="165" fontId="5" fillId="4" borderId="25" xfId="3" applyFont="1" applyFill="1" applyBorder="1" applyAlignment="1">
      <alignment vertical="center" wrapText="1"/>
    </xf>
    <xf numFmtId="1" fontId="21" fillId="0" borderId="0" xfId="4" applyNumberFormat="1" applyFont="1" applyAlignment="1">
      <alignment vertical="center"/>
    </xf>
    <xf numFmtId="1" fontId="21" fillId="0" borderId="0" xfId="4" applyNumberFormat="1" applyFont="1" applyAlignment="1">
      <alignment horizontal="center" vertical="center"/>
    </xf>
    <xf numFmtId="0" fontId="21" fillId="0" borderId="0" xfId="1" applyFont="1" applyAlignment="1">
      <alignment vertical="center"/>
    </xf>
    <xf numFmtId="165" fontId="5" fillId="4" borderId="2" xfId="3" applyFont="1" applyFill="1" applyBorder="1" applyAlignment="1">
      <alignment vertical="center" wrapText="1"/>
    </xf>
    <xf numFmtId="165" fontId="5" fillId="4" borderId="8" xfId="3" applyFont="1" applyFill="1" applyBorder="1" applyAlignment="1">
      <alignment vertical="center" wrapText="1"/>
    </xf>
    <xf numFmtId="165" fontId="5" fillId="4" borderId="11" xfId="3" applyFont="1" applyFill="1" applyBorder="1" applyAlignment="1">
      <alignment vertical="center" wrapText="1"/>
    </xf>
    <xf numFmtId="165" fontId="5" fillId="5" borderId="2" xfId="3" applyFont="1" applyFill="1" applyBorder="1" applyAlignment="1">
      <alignment vertical="center" wrapText="1"/>
    </xf>
    <xf numFmtId="165" fontId="5" fillId="5" borderId="11" xfId="3" applyFont="1" applyFill="1" applyBorder="1" applyAlignment="1">
      <alignment vertical="center" wrapText="1"/>
    </xf>
    <xf numFmtId="165" fontId="5" fillId="5" borderId="3" xfId="3" applyFont="1" applyFill="1" applyBorder="1" applyAlignment="1">
      <alignment vertical="center" wrapText="1"/>
    </xf>
    <xf numFmtId="165" fontId="5" fillId="5" borderId="10" xfId="3" applyFont="1" applyFill="1" applyBorder="1" applyAlignment="1">
      <alignment vertical="center" wrapText="1"/>
    </xf>
    <xf numFmtId="0" fontId="5" fillId="2" borderId="4" xfId="1" applyFont="1" applyFill="1" applyBorder="1" applyAlignment="1">
      <alignment vertical="center" wrapText="1"/>
    </xf>
    <xf numFmtId="0" fontId="5" fillId="2" borderId="25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9" xfId="1" applyFont="1" applyFill="1" applyBorder="1" applyAlignment="1">
      <alignment vertical="center" wrapText="1"/>
    </xf>
    <xf numFmtId="0" fontId="5" fillId="2" borderId="33" xfId="1" applyFont="1" applyFill="1" applyBorder="1" applyAlignment="1">
      <alignment vertical="center" wrapText="1"/>
    </xf>
    <xf numFmtId="0" fontId="5" fillId="2" borderId="10" xfId="1" applyFont="1" applyFill="1" applyBorder="1" applyAlignment="1">
      <alignment vertical="center" wrapText="1"/>
    </xf>
    <xf numFmtId="165" fontId="5" fillId="5" borderId="4" xfId="3" applyFont="1" applyFill="1" applyBorder="1" applyAlignment="1">
      <alignment vertical="center" wrapText="1"/>
    </xf>
    <xf numFmtId="165" fontId="5" fillId="5" borderId="9" xfId="3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8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vertical="center" wrapText="1"/>
    </xf>
    <xf numFmtId="165" fontId="5" fillId="6" borderId="2" xfId="3" applyFont="1" applyFill="1" applyBorder="1" applyAlignment="1">
      <alignment vertical="center" wrapText="1"/>
    </xf>
    <xf numFmtId="165" fontId="5" fillId="6" borderId="8" xfId="3" applyFont="1" applyFill="1" applyBorder="1" applyAlignment="1">
      <alignment vertical="center" wrapText="1"/>
    </xf>
    <xf numFmtId="165" fontId="5" fillId="6" borderId="11" xfId="3" applyFont="1" applyFill="1" applyBorder="1" applyAlignment="1">
      <alignment vertical="center" wrapText="1"/>
    </xf>
    <xf numFmtId="165" fontId="5" fillId="4" borderId="3" xfId="3" applyFont="1" applyFill="1" applyBorder="1" applyAlignment="1">
      <alignment vertical="center" wrapText="1"/>
    </xf>
    <xf numFmtId="165" fontId="5" fillId="4" borderId="34" xfId="3" applyFont="1" applyFill="1" applyBorder="1" applyAlignment="1">
      <alignment vertical="center" wrapText="1"/>
    </xf>
    <xf numFmtId="165" fontId="5" fillId="4" borderId="10" xfId="3" applyFont="1" applyFill="1" applyBorder="1" applyAlignment="1">
      <alignment vertical="center" wrapText="1"/>
    </xf>
    <xf numFmtId="165" fontId="5" fillId="8" borderId="5" xfId="3" applyFont="1" applyFill="1" applyBorder="1" applyAlignment="1">
      <alignment vertical="center" wrapText="1"/>
    </xf>
    <xf numFmtId="165" fontId="5" fillId="8" borderId="7" xfId="3" applyFont="1" applyFill="1" applyBorder="1" applyAlignment="1">
      <alignment vertical="center" wrapText="1"/>
    </xf>
    <xf numFmtId="165" fontId="5" fillId="9" borderId="5" xfId="3" applyFont="1" applyFill="1" applyBorder="1" applyAlignment="1">
      <alignment vertical="center" wrapText="1"/>
    </xf>
    <xf numFmtId="165" fontId="5" fillId="9" borderId="7" xfId="3" applyFont="1" applyFill="1" applyBorder="1" applyAlignment="1">
      <alignment vertical="center" wrapText="1"/>
    </xf>
    <xf numFmtId="165" fontId="5" fillId="9" borderId="26" xfId="3" applyFont="1" applyFill="1" applyBorder="1" applyAlignment="1">
      <alignment vertical="center" wrapText="1"/>
    </xf>
    <xf numFmtId="165" fontId="5" fillId="10" borderId="27" xfId="3" applyFont="1" applyFill="1" applyBorder="1" applyAlignment="1">
      <alignment vertical="center" wrapText="1"/>
    </xf>
    <xf numFmtId="165" fontId="5" fillId="10" borderId="28" xfId="3" applyFont="1" applyFill="1" applyBorder="1" applyAlignment="1">
      <alignment vertical="center" wrapText="1"/>
    </xf>
    <xf numFmtId="165" fontId="5" fillId="10" borderId="29" xfId="3" applyFont="1" applyFill="1" applyBorder="1" applyAlignment="1">
      <alignment vertical="center" wrapText="1"/>
    </xf>
    <xf numFmtId="165" fontId="5" fillId="10" borderId="30" xfId="3" applyFont="1" applyFill="1" applyBorder="1" applyAlignment="1">
      <alignment vertical="center" wrapText="1"/>
    </xf>
    <xf numFmtId="166" fontId="5" fillId="4" borderId="2" xfId="4" applyNumberFormat="1" applyFont="1" applyFill="1" applyBorder="1" applyAlignment="1">
      <alignment vertical="center" wrapText="1"/>
    </xf>
    <xf numFmtId="166" fontId="5" fillId="4" borderId="8" xfId="4" applyNumberFormat="1" applyFont="1" applyFill="1" applyBorder="1" applyAlignment="1">
      <alignment vertical="center" wrapText="1"/>
    </xf>
    <xf numFmtId="166" fontId="5" fillId="4" borderId="11" xfId="4" applyNumberFormat="1" applyFont="1" applyFill="1" applyBorder="1" applyAlignment="1">
      <alignment vertical="center" wrapText="1"/>
    </xf>
    <xf numFmtId="169" fontId="5" fillId="4" borderId="2" xfId="4" applyNumberFormat="1" applyFont="1" applyFill="1" applyBorder="1" applyAlignment="1">
      <alignment vertical="center" wrapText="1"/>
    </xf>
    <xf numFmtId="169" fontId="5" fillId="4" borderId="8" xfId="4" applyNumberFormat="1" applyFont="1" applyFill="1" applyBorder="1" applyAlignment="1">
      <alignment vertical="center" wrapText="1"/>
    </xf>
    <xf numFmtId="169" fontId="5" fillId="4" borderId="11" xfId="4" applyNumberFormat="1" applyFont="1" applyFill="1" applyBorder="1" applyAlignment="1">
      <alignment vertical="center" wrapText="1"/>
    </xf>
    <xf numFmtId="0" fontId="5" fillId="4" borderId="2" xfId="4" applyFont="1" applyFill="1" applyBorder="1" applyAlignment="1">
      <alignment vertical="center" wrapText="1"/>
    </xf>
    <xf numFmtId="0" fontId="5" fillId="4" borderId="8" xfId="4" applyFont="1" applyFill="1" applyBorder="1" applyAlignment="1">
      <alignment vertical="center" wrapText="1"/>
    </xf>
    <xf numFmtId="0" fontId="5" fillId="4" borderId="11" xfId="4" applyFont="1" applyFill="1" applyBorder="1" applyAlignment="1">
      <alignment vertical="center" wrapText="1"/>
    </xf>
    <xf numFmtId="1" fontId="5" fillId="4" borderId="2" xfId="4" applyNumberFormat="1" applyFont="1" applyFill="1" applyBorder="1" applyAlignment="1">
      <alignment vertical="center" wrapText="1"/>
    </xf>
    <xf numFmtId="1" fontId="5" fillId="4" borderId="8" xfId="4" applyNumberFormat="1" applyFont="1" applyFill="1" applyBorder="1" applyAlignment="1">
      <alignment vertical="center" wrapText="1"/>
    </xf>
    <xf numFmtId="1" fontId="5" fillId="4" borderId="11" xfId="4" applyNumberFormat="1" applyFont="1" applyFill="1" applyBorder="1" applyAlignment="1">
      <alignment vertical="center" wrapText="1"/>
    </xf>
    <xf numFmtId="0" fontId="5" fillId="4" borderId="2" xfId="5" applyFont="1" applyFill="1" applyBorder="1" applyAlignment="1">
      <alignment vertical="center" wrapText="1"/>
    </xf>
    <xf numFmtId="0" fontId="5" fillId="4" borderId="8" xfId="5" applyFont="1" applyFill="1" applyBorder="1" applyAlignment="1">
      <alignment vertical="center" wrapText="1"/>
    </xf>
    <xf numFmtId="0" fontId="5" fillId="4" borderId="11" xfId="5" applyFont="1" applyFill="1" applyBorder="1" applyAlignment="1">
      <alignment vertical="center" wrapText="1"/>
    </xf>
    <xf numFmtId="165" fontId="5" fillId="4" borderId="7" xfId="3" applyFont="1" applyFill="1" applyBorder="1" applyAlignment="1">
      <alignment vertical="center" wrapText="1"/>
    </xf>
    <xf numFmtId="0" fontId="5" fillId="4" borderId="6" xfId="1" applyFont="1" applyFill="1" applyBorder="1" applyAlignment="1">
      <alignment vertical="center" wrapText="1"/>
    </xf>
    <xf numFmtId="0" fontId="22" fillId="0" borderId="12" xfId="1" applyFont="1" applyBorder="1" applyAlignment="1">
      <alignment vertical="center"/>
    </xf>
    <xf numFmtId="0" fontId="22" fillId="0" borderId="14" xfId="1" applyFont="1" applyBorder="1" applyAlignment="1">
      <alignment vertical="center"/>
    </xf>
    <xf numFmtId="165" fontId="23" fillId="12" borderId="2" xfId="14" applyFont="1" applyFill="1" applyBorder="1" applyAlignment="1">
      <alignment vertical="center" textRotation="90" shrinkToFit="1"/>
    </xf>
    <xf numFmtId="165" fontId="23" fillId="12" borderId="8" xfId="14" applyFont="1" applyFill="1" applyBorder="1" applyAlignment="1">
      <alignment vertical="center" textRotation="90" shrinkToFit="1"/>
    </xf>
    <xf numFmtId="165" fontId="23" fillId="4" borderId="11" xfId="14" applyFont="1" applyFill="1" applyBorder="1" applyAlignment="1">
      <alignment vertical="center" textRotation="90" shrinkToFit="1"/>
    </xf>
    <xf numFmtId="165" fontId="23" fillId="4" borderId="2" xfId="14" applyFont="1" applyFill="1" applyBorder="1" applyAlignment="1">
      <alignment vertical="center" textRotation="90" shrinkToFit="1"/>
    </xf>
    <xf numFmtId="165" fontId="23" fillId="4" borderId="2" xfId="14" applyFont="1" applyFill="1" applyBorder="1" applyAlignment="1">
      <alignment horizontal="center" vertical="center" wrapText="1" shrinkToFit="1"/>
    </xf>
    <xf numFmtId="165" fontId="23" fillId="12" borderId="2" xfId="14" applyFont="1" applyFill="1" applyBorder="1" applyAlignment="1">
      <alignment horizontal="center" vertical="center" shrinkToFit="1"/>
    </xf>
    <xf numFmtId="165" fontId="25" fillId="5" borderId="6" xfId="3" applyFont="1" applyFill="1" applyBorder="1" applyAlignment="1">
      <alignment vertical="center" wrapText="1"/>
    </xf>
    <xf numFmtId="165" fontId="25" fillId="5" borderId="5" xfId="3" applyFont="1" applyFill="1" applyBorder="1" applyAlignment="1">
      <alignment vertical="center" wrapText="1"/>
    </xf>
    <xf numFmtId="165" fontId="25" fillId="5" borderId="7" xfId="3" applyFont="1" applyFill="1" applyBorder="1" applyAlignment="1">
      <alignment vertical="center" wrapText="1"/>
    </xf>
    <xf numFmtId="165" fontId="24" fillId="4" borderId="5" xfId="3" applyFont="1" applyFill="1" applyBorder="1" applyAlignment="1">
      <alignment vertical="center" wrapText="1"/>
    </xf>
    <xf numFmtId="165" fontId="25" fillId="4" borderId="5" xfId="3" applyFont="1" applyFill="1" applyBorder="1" applyAlignment="1">
      <alignment vertical="center" wrapText="1"/>
    </xf>
    <xf numFmtId="165" fontId="25" fillId="4" borderId="7" xfId="3" applyFont="1" applyFill="1" applyBorder="1" applyAlignment="1">
      <alignment vertical="center" wrapText="1"/>
    </xf>
    <xf numFmtId="0" fontId="25" fillId="4" borderId="5" xfId="1" applyFont="1" applyFill="1" applyBorder="1" applyAlignment="1">
      <alignment vertical="center" wrapText="1"/>
    </xf>
    <xf numFmtId="0" fontId="25" fillId="4" borderId="6" xfId="1" applyFont="1" applyFill="1" applyBorder="1" applyAlignment="1">
      <alignment vertical="center" wrapText="1"/>
    </xf>
    <xf numFmtId="2" fontId="16" fillId="0" borderId="15" xfId="1" applyNumberFormat="1" applyFont="1" applyBorder="1" applyAlignment="1">
      <alignment vertical="center"/>
    </xf>
    <xf numFmtId="165" fontId="5" fillId="13" borderId="4" xfId="3" applyFont="1" applyFill="1" applyBorder="1" applyAlignment="1">
      <alignment vertical="center" wrapText="1"/>
    </xf>
    <xf numFmtId="165" fontId="5" fillId="13" borderId="9" xfId="3" applyFont="1" applyFill="1" applyBorder="1" applyAlignment="1">
      <alignment vertical="center" wrapText="1"/>
    </xf>
    <xf numFmtId="165" fontId="18" fillId="0" borderId="0" xfId="3" applyFont="1" applyFill="1" applyAlignment="1">
      <alignment horizontal="left" vertical="center"/>
    </xf>
    <xf numFmtId="171" fontId="15" fillId="0" borderId="15" xfId="1" applyNumberFormat="1" applyFont="1" applyBorder="1" applyAlignment="1">
      <alignment horizontal="center" vertical="center"/>
    </xf>
    <xf numFmtId="165" fontId="5" fillId="5" borderId="1" xfId="2" applyFont="1" applyFill="1" applyBorder="1" applyAlignment="1">
      <alignment vertical="center"/>
    </xf>
    <xf numFmtId="0" fontId="27" fillId="0" borderId="1" xfId="1" applyFont="1" applyBorder="1" applyAlignment="1">
      <alignment vertical="center"/>
    </xf>
    <xf numFmtId="0" fontId="13" fillId="0" borderId="24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165" fontId="14" fillId="0" borderId="23" xfId="3" applyFont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8" fillId="0" borderId="12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3" fillId="0" borderId="20" xfId="1" applyFont="1" applyBorder="1" applyAlignment="1">
      <alignment horizontal="left" vertical="center"/>
    </xf>
    <xf numFmtId="165" fontId="14" fillId="0" borderId="21" xfId="3" applyFont="1" applyBorder="1" applyAlignment="1">
      <alignment horizontal="center" vertical="center"/>
    </xf>
    <xf numFmtId="165" fontId="14" fillId="0" borderId="35" xfId="3" applyFont="1" applyBorder="1" applyAlignment="1">
      <alignment horizontal="center" vertical="center"/>
    </xf>
    <xf numFmtId="0" fontId="13" fillId="0" borderId="31" xfId="1" applyFont="1" applyBorder="1" applyAlignment="1">
      <alignment horizontal="left" vertical="center"/>
    </xf>
    <xf numFmtId="0" fontId="13" fillId="0" borderId="39" xfId="1" applyFont="1" applyBorder="1" applyAlignment="1">
      <alignment horizontal="left" vertical="center"/>
    </xf>
    <xf numFmtId="165" fontId="14" fillId="0" borderId="32" xfId="3" applyFont="1" applyBorder="1" applyAlignment="1">
      <alignment horizontal="center" vertical="center"/>
    </xf>
    <xf numFmtId="165" fontId="14" fillId="0" borderId="36" xfId="3" applyFont="1" applyBorder="1" applyAlignment="1">
      <alignment horizontal="center" vertical="center"/>
    </xf>
    <xf numFmtId="2" fontId="13" fillId="0" borderId="32" xfId="3" applyNumberFormat="1" applyFont="1" applyBorder="1" applyAlignment="1">
      <alignment horizontal="right" vertical="center"/>
    </xf>
    <xf numFmtId="2" fontId="13" fillId="0" borderId="36" xfId="3" applyNumberFormat="1" applyFont="1" applyBorder="1" applyAlignment="1">
      <alignment horizontal="right" vertical="center"/>
    </xf>
    <xf numFmtId="2" fontId="13" fillId="0" borderId="35" xfId="3" applyNumberFormat="1" applyFont="1" applyBorder="1" applyAlignment="1">
      <alignment horizontal="right" vertical="center"/>
    </xf>
    <xf numFmtId="0" fontId="15" fillId="0" borderId="12" xfId="1" applyFont="1" applyBorder="1" applyAlignment="1">
      <alignment horizontal="left" vertical="center"/>
    </xf>
    <xf numFmtId="0" fontId="15" fillId="0" borderId="18" xfId="1" applyFont="1" applyBorder="1" applyAlignment="1">
      <alignment horizontal="left" vertical="center"/>
    </xf>
    <xf numFmtId="165" fontId="15" fillId="0" borderId="13" xfId="3" applyFont="1" applyBorder="1" applyAlignment="1">
      <alignment horizontal="center" vertical="center"/>
    </xf>
    <xf numFmtId="165" fontId="15" fillId="0" borderId="17" xfId="3" applyFont="1" applyBorder="1" applyAlignment="1">
      <alignment horizontal="center" vertical="center"/>
    </xf>
    <xf numFmtId="0" fontId="15" fillId="0" borderId="16" xfId="1" applyFont="1" applyBorder="1" applyAlignment="1">
      <alignment horizontal="left" vertical="center"/>
    </xf>
    <xf numFmtId="0" fontId="15" fillId="0" borderId="19" xfId="1" applyFont="1" applyBorder="1" applyAlignment="1">
      <alignment horizontal="left" vertical="center"/>
    </xf>
    <xf numFmtId="165" fontId="15" fillId="0" borderId="15" xfId="3" applyFont="1" applyBorder="1" applyAlignment="1">
      <alignment horizontal="center" vertical="center"/>
    </xf>
  </cellXfs>
  <cellStyles count="15">
    <cellStyle name="Comma 3 3" xfId="14" xr:uid="{7ECFF9D5-F7BF-4403-AC6B-A874255EF6A9}"/>
    <cellStyle name="Comma 4" xfId="3" xr:uid="{EFFAE118-EFD0-431D-BA4E-EE4F05174B73}"/>
    <cellStyle name="Normal" xfId="0" builtinId="0"/>
    <cellStyle name="Normal 14" xfId="1" xr:uid="{E28FE97F-F984-4313-9583-C71BC655905F}"/>
    <cellStyle name="Normal 2" xfId="8" xr:uid="{75E7178A-D03F-45D9-AA85-9CCA6418E292}"/>
    <cellStyle name="Normal 2 4" xfId="6" xr:uid="{FCDF23C1-E86B-489C-94BA-80BA379A80AB}"/>
    <cellStyle name="Normal 2 5" xfId="10" xr:uid="{F7DECBE3-AB53-48B2-883D-023A73BBCE3D}"/>
    <cellStyle name="Normal 4 3" xfId="9" xr:uid="{D0207047-73C6-4862-8091-E7CEF7F7272A}"/>
    <cellStyle name="เครื่องหมายจุลภาค 3 2" xfId="5" xr:uid="{8421E0F7-AB73-4BF6-AC80-9D130218343A}"/>
    <cellStyle name="จุลภาค 2" xfId="12" xr:uid="{0608C6D3-19E3-40B3-B490-4D3F533A07F3}"/>
    <cellStyle name="ปกติ 2 2" xfId="7" xr:uid="{8EB7B5AF-0412-405D-9D6F-4350687D4D5C}"/>
    <cellStyle name="ปกติ 3" xfId="4" xr:uid="{65A154C7-40D5-4503-A55D-0B6AB3AD5A87}"/>
    <cellStyle name="ปกติ 3 6" xfId="11" xr:uid="{14439CE3-D772-4FEB-BC8A-89A660EAD71A}"/>
    <cellStyle name="ปกติ 4 4" xfId="13" xr:uid="{20087222-5334-4BA2-BE77-6A310859B1B9}"/>
    <cellStyle name="桁区切り [0.00] 2" xfId="2" xr:uid="{7C5397B7-659F-4D28-9C15-3579059420F7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1</xdr:rowOff>
    </xdr:from>
    <xdr:to>
      <xdr:col>1</xdr:col>
      <xdr:colOff>393227</xdr:colOff>
      <xdr:row>1</xdr:row>
      <xdr:rowOff>197032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54EEAEBE-1162-4E31-B9E4-EB0A9CC5F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"/>
          <a:ext cx="1202629" cy="518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62593</xdr:colOff>
      <xdr:row>0</xdr:row>
      <xdr:rowOff>122465</xdr:rowOff>
    </xdr:from>
    <xdr:to>
      <xdr:col>1</xdr:col>
      <xdr:colOff>154736</xdr:colOff>
      <xdr:row>1</xdr:row>
      <xdr:rowOff>212950</xdr:rowOff>
    </xdr:to>
    <xdr:pic>
      <xdr:nvPicPr>
        <xdr:cNvPr id="3" name="Picture 20">
          <a:extLst>
            <a:ext uri="{FF2B5EF4-FFF2-40B4-BE49-F238E27FC236}">
              <a16:creationId xmlns:a16="http://schemas.microsoft.com/office/drawing/2014/main" id="{ECC2B15A-5CFB-4C8C-A975-F1625D8F5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93" y="122465"/>
          <a:ext cx="1108770" cy="418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62593</xdr:colOff>
      <xdr:row>0</xdr:row>
      <xdr:rowOff>122465</xdr:rowOff>
    </xdr:from>
    <xdr:to>
      <xdr:col>1</xdr:col>
      <xdr:colOff>154736</xdr:colOff>
      <xdr:row>1</xdr:row>
      <xdr:rowOff>212950</xdr:rowOff>
    </xdr:to>
    <xdr:pic>
      <xdr:nvPicPr>
        <xdr:cNvPr id="84" name="Picture 20">
          <a:extLst>
            <a:ext uri="{FF2B5EF4-FFF2-40B4-BE49-F238E27FC236}">
              <a16:creationId xmlns:a16="http://schemas.microsoft.com/office/drawing/2014/main" id="{39B624DE-797C-4C08-BC3D-6AD69E3D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93" y="122465"/>
          <a:ext cx="1108770" cy="418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21551</xdr:rowOff>
    </xdr:from>
    <xdr:to>
      <xdr:col>5</xdr:col>
      <xdr:colOff>2981324</xdr:colOff>
      <xdr:row>4</xdr:row>
      <xdr:rowOff>95249</xdr:rowOff>
    </xdr:to>
    <xdr:grpSp>
      <xdr:nvGrpSpPr>
        <xdr:cNvPr id="2" name="กลุ่ม 1">
          <a:extLst>
            <a:ext uri="{FF2B5EF4-FFF2-40B4-BE49-F238E27FC236}">
              <a16:creationId xmlns:a16="http://schemas.microsoft.com/office/drawing/2014/main" id="{3A85F107-7041-4E05-96F7-AE2BCAF0C8F2}"/>
            </a:ext>
          </a:extLst>
        </xdr:cNvPr>
        <xdr:cNvGrpSpPr/>
      </xdr:nvGrpSpPr>
      <xdr:grpSpPr>
        <a:xfrm>
          <a:off x="57149" y="21551"/>
          <a:ext cx="9071711" cy="865147"/>
          <a:chOff x="57149" y="21551"/>
          <a:chExt cx="8782050" cy="902373"/>
        </a:xfrm>
      </xdr:grpSpPr>
      <xdr:sp macro="" textlink="">
        <xdr:nvSpPr>
          <xdr:cNvPr id="3" name="Rounded Rectangle 15">
            <a:extLst>
              <a:ext uri="{FF2B5EF4-FFF2-40B4-BE49-F238E27FC236}">
                <a16:creationId xmlns:a16="http://schemas.microsoft.com/office/drawing/2014/main" id="{5F54724C-756B-3BF0-17FB-4FDBAEDFAC87}"/>
              </a:ext>
            </a:extLst>
          </xdr:cNvPr>
          <xdr:cNvSpPr/>
        </xdr:nvSpPr>
        <xdr:spPr>
          <a:xfrm>
            <a:off x="1536550" y="21551"/>
            <a:ext cx="7302649" cy="902373"/>
          </a:xfrm>
          <a:prstGeom prst="roundRect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500" b="1">
                <a:latin typeface="Angsana New" panose="02020603050405020304" pitchFamily="18" charset="-34"/>
                <a:cs typeface="Angsana New" panose="02020603050405020304" pitchFamily="18" charset="-34"/>
              </a:rPr>
              <a:t>nms (Thailand) Co.,Ltd</a:t>
            </a:r>
          </a:p>
          <a:p>
            <a:pPr algn="l"/>
            <a:r>
              <a:rPr lang="en-US" sz="1500">
                <a:latin typeface="Angsana New" panose="02020603050405020304" pitchFamily="18" charset="-34"/>
                <a:cs typeface="Angsana New" panose="02020603050405020304" pitchFamily="18" charset="-34"/>
              </a:rPr>
              <a:t>4/222 Harbor Office,6th Floor,Room 6B01,Moo</a:t>
            </a:r>
            <a:r>
              <a:rPr lang="en-US" sz="1500" baseline="0">
                <a:latin typeface="Angsana New" panose="02020603050405020304" pitchFamily="18" charset="-34"/>
                <a:cs typeface="Angsana New" panose="02020603050405020304" pitchFamily="18" charset="-34"/>
              </a:rPr>
              <a:t> </a:t>
            </a:r>
            <a:r>
              <a:rPr lang="en-US" sz="1500">
                <a:latin typeface="Angsana New" panose="02020603050405020304" pitchFamily="18" charset="-34"/>
                <a:cs typeface="Angsana New" panose="02020603050405020304" pitchFamily="18" charset="-34"/>
              </a:rPr>
              <a:t>10, Sukhumvit Rd, T</a:t>
            </a:r>
            <a:r>
              <a:rPr lang="th-TH" sz="1500">
                <a:latin typeface="Angsana New" panose="02020603050405020304" pitchFamily="18" charset="-34"/>
                <a:cs typeface="Angsana New" panose="02020603050405020304" pitchFamily="18" charset="-34"/>
              </a:rPr>
              <a:t>.</a:t>
            </a:r>
            <a:r>
              <a:rPr lang="en-US" sz="1500">
                <a:latin typeface="Angsana New" panose="02020603050405020304" pitchFamily="18" charset="-34"/>
                <a:cs typeface="Angsana New" panose="02020603050405020304" pitchFamily="18" charset="-34"/>
              </a:rPr>
              <a:t>Tungsukla,</a:t>
            </a:r>
            <a:r>
              <a:rPr lang="th-TH" sz="1500" baseline="0">
                <a:latin typeface="Angsana New" panose="02020603050405020304" pitchFamily="18" charset="-34"/>
                <a:cs typeface="Angsana New" panose="02020603050405020304" pitchFamily="18" charset="-34"/>
              </a:rPr>
              <a:t> </a:t>
            </a:r>
            <a:r>
              <a:rPr lang="en-US" sz="1500">
                <a:latin typeface="Angsana New" panose="02020603050405020304" pitchFamily="18" charset="-34"/>
                <a:cs typeface="Angsana New" panose="02020603050405020304" pitchFamily="18" charset="-34"/>
              </a:rPr>
              <a:t>A</a:t>
            </a:r>
            <a:r>
              <a:rPr lang="th-TH" sz="1500">
                <a:latin typeface="Angsana New" panose="02020603050405020304" pitchFamily="18" charset="-34"/>
                <a:cs typeface="Angsana New" panose="02020603050405020304" pitchFamily="18" charset="-34"/>
              </a:rPr>
              <a:t>.</a:t>
            </a:r>
            <a:r>
              <a:rPr lang="en-US" sz="1500">
                <a:latin typeface="Angsana New" panose="02020603050405020304" pitchFamily="18" charset="-34"/>
                <a:cs typeface="Angsana New" panose="02020603050405020304" pitchFamily="18" charset="-34"/>
              </a:rPr>
              <a:t>Sriracha Chonburi 20230</a:t>
            </a:r>
            <a:r>
              <a:rPr lang="th-TH" sz="1500">
                <a:latin typeface="Angsana New" panose="02020603050405020304" pitchFamily="18" charset="-34"/>
                <a:cs typeface="Angsana New" panose="02020603050405020304" pitchFamily="18" charset="-34"/>
              </a:rPr>
              <a:t>  </a:t>
            </a:r>
          </a:p>
        </xdr:txBody>
      </xdr:sp>
      <xdr:pic>
        <xdr:nvPicPr>
          <xdr:cNvPr id="4" name="Picture 16">
            <a:extLst>
              <a:ext uri="{FF2B5EF4-FFF2-40B4-BE49-F238E27FC236}">
                <a16:creationId xmlns:a16="http://schemas.microsoft.com/office/drawing/2014/main" id="{6AE7271E-374B-819E-079A-DE7A8DE03E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49" y="190499"/>
            <a:ext cx="1514475" cy="6803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D211-15CB-4088-8BDD-7E59E415C085}">
  <sheetPr>
    <tabColor rgb="FF00B050"/>
  </sheetPr>
  <dimension ref="A1:EP119"/>
  <sheetViews>
    <sheetView tabSelected="1" topLeftCell="A7" zoomScale="80" zoomScaleNormal="80" zoomScaleSheetLayoutView="25" workbookViewId="0">
      <pane xSplit="4" ySplit="12" topLeftCell="E19" activePane="bottomRight" state="frozen"/>
      <selection activeCell="A7" sqref="A7"/>
      <selection pane="topRight" activeCell="E7" sqref="E7"/>
      <selection pane="bottomLeft" activeCell="A14" sqref="A14"/>
      <selection pane="bottomRight" activeCell="DN20" sqref="DN20"/>
    </sheetView>
  </sheetViews>
  <sheetFormatPr baseColWidth="10" defaultColWidth="30.5" defaultRowHeight="26.25" customHeight="1"/>
  <cols>
    <col min="1" max="1" width="13.1640625" style="44" customWidth="1"/>
    <col min="2" max="2" width="18.83203125" style="30" customWidth="1"/>
    <col min="3" max="3" width="23.1640625" style="45" customWidth="1"/>
    <col min="4" max="4" width="16" style="32" customWidth="1"/>
    <col min="5" max="5" width="23.33203125" style="32" customWidth="1"/>
    <col min="6" max="6" width="16" style="32" customWidth="1"/>
    <col min="7" max="7" width="13.83203125" style="46" customWidth="1"/>
    <col min="8" max="8" width="17.5" style="33" customWidth="1"/>
    <col min="9" max="9" width="17.5" style="34" customWidth="1"/>
    <col min="10" max="10" width="11.33203125" style="33" customWidth="1"/>
    <col min="11" max="11" width="14" style="33" customWidth="1"/>
    <col min="12" max="12" width="17.83203125" style="33" customWidth="1"/>
    <col min="13" max="13" width="14" style="33" customWidth="1"/>
    <col min="14" max="14" width="11.5" style="33" customWidth="1"/>
    <col min="15" max="15" width="23.1640625" style="33" customWidth="1"/>
    <col min="16" max="21" width="14" style="33" customWidth="1"/>
    <col min="22" max="22" width="10.1640625" style="33" customWidth="1"/>
    <col min="23" max="23" width="12.5" style="33" customWidth="1"/>
    <col min="24" max="24" width="10.5" style="35" customWidth="1"/>
    <col min="25" max="25" width="10.5" style="25" customWidth="1"/>
    <col min="26" max="27" width="10.5" style="35" customWidth="1"/>
    <col min="28" max="28" width="10.5" style="26" customWidth="1"/>
    <col min="29" max="29" width="10.5" style="35" customWidth="1"/>
    <col min="30" max="30" width="11.83203125" style="33" customWidth="1"/>
    <col min="31" max="31" width="11.5" style="33" customWidth="1"/>
    <col min="32" max="32" width="14" style="33" customWidth="1"/>
    <col min="33" max="39" width="12.5" style="33" customWidth="1"/>
    <col min="40" max="40" width="15.5" style="33" customWidth="1"/>
    <col min="41" max="41" width="17.5" style="33" customWidth="1"/>
    <col min="42" max="42" width="17.6640625" style="33" customWidth="1"/>
    <col min="43" max="43" width="10.1640625" style="33" customWidth="1"/>
    <col min="44" max="47" width="11.33203125" style="33" customWidth="1"/>
    <col min="48" max="49" width="15.83203125" style="33" customWidth="1"/>
    <col min="50" max="64" width="11.33203125" style="33" customWidth="1"/>
    <col min="65" max="72" width="12.5" style="33" customWidth="1"/>
    <col min="73" max="73" width="13.33203125" style="33" customWidth="1"/>
    <col min="74" max="76" width="15" style="33" customWidth="1"/>
    <col min="77" max="77" width="13.33203125" style="33" customWidth="1"/>
    <col min="78" max="78" width="15" style="33" customWidth="1"/>
    <col min="79" max="79" width="13.33203125" style="33" customWidth="1"/>
    <col min="80" max="82" width="15" style="33" customWidth="1"/>
    <col min="83" max="83" width="13.33203125" style="33" customWidth="1"/>
    <col min="84" max="84" width="15" style="33" customWidth="1"/>
    <col min="85" max="85" width="14.5" style="33" customWidth="1"/>
    <col min="86" max="86" width="14.1640625" style="33" customWidth="1"/>
    <col min="87" max="87" width="14.33203125" style="33" customWidth="1"/>
    <col min="88" max="88" width="10.1640625" style="33" customWidth="1"/>
    <col min="89" max="89" width="8.5" style="36" customWidth="1"/>
    <col min="90" max="90" width="14.1640625" style="36" customWidth="1"/>
    <col min="91" max="91" width="11" style="37" customWidth="1"/>
    <col min="92" max="92" width="8" style="37" customWidth="1"/>
    <col min="93" max="94" width="12.5" style="37" customWidth="1"/>
    <col min="95" max="95" width="12.83203125" style="37" customWidth="1"/>
    <col min="96" max="96" width="13" style="37" customWidth="1"/>
    <col min="97" max="97" width="17.83203125" style="37" customWidth="1"/>
    <col min="98" max="98" width="10.6640625" style="37" customWidth="1"/>
    <col min="99" max="99" width="11.33203125" style="37" customWidth="1"/>
    <col min="100" max="100" width="12" style="37" customWidth="1"/>
    <col min="101" max="101" width="18.5" style="37" customWidth="1"/>
    <col min="102" max="102" width="11.6640625" style="37" customWidth="1"/>
    <col min="103" max="103" width="10.83203125" style="37" customWidth="1"/>
    <col min="104" max="104" width="12.5" style="37" customWidth="1"/>
    <col min="105" max="105" width="15.5" style="38" bestFit="1" customWidth="1"/>
    <col min="106" max="106" width="12" style="28" customWidth="1"/>
    <col min="107" max="107" width="13" style="28" customWidth="1"/>
    <col min="108" max="111" width="9.33203125" style="28" customWidth="1"/>
    <col min="112" max="112" width="8.6640625" style="28" customWidth="1"/>
    <col min="113" max="113" width="8.33203125" style="28" customWidth="1"/>
    <col min="114" max="114" width="9" style="28" customWidth="1"/>
    <col min="115" max="115" width="10.6640625" style="28" customWidth="1"/>
    <col min="116" max="116" width="8.83203125" style="28" customWidth="1"/>
    <col min="117" max="117" width="13.83203125" style="28" customWidth="1"/>
    <col min="118" max="119" width="13.5" style="28" customWidth="1"/>
    <col min="120" max="120" width="9.5" style="28" customWidth="1"/>
    <col min="121" max="121" width="14.33203125" style="28" customWidth="1"/>
    <col min="122" max="132" width="10.6640625" style="28" customWidth="1"/>
    <col min="133" max="133" width="11.5" style="28" customWidth="1"/>
    <col min="134" max="134" width="14.33203125" style="28" customWidth="1"/>
    <col min="135" max="145" width="10.6640625" style="28" customWidth="1"/>
    <col min="146" max="146" width="11.5" style="28" customWidth="1"/>
    <col min="147" max="16384" width="30.5" style="29"/>
  </cols>
  <sheetData>
    <row r="1" spans="1:146" ht="26.25" customHeight="1">
      <c r="A1" s="19"/>
      <c r="B1" s="20"/>
      <c r="C1" s="21"/>
      <c r="D1" s="22"/>
      <c r="E1" s="22"/>
      <c r="F1" s="22"/>
      <c r="G1" s="19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5"/>
      <c r="Z1" s="25"/>
      <c r="AA1" s="25"/>
      <c r="AC1" s="25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7"/>
      <c r="CL1" s="27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7"/>
    </row>
    <row r="2" spans="1:146" ht="26.25" customHeight="1">
      <c r="A2" s="19"/>
      <c r="B2" s="20"/>
      <c r="C2" s="21"/>
      <c r="D2" s="22"/>
      <c r="E2" s="22"/>
      <c r="F2" s="22"/>
      <c r="G2" s="19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5"/>
      <c r="Z2" s="25"/>
      <c r="AA2" s="25"/>
      <c r="AC2" s="25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7"/>
      <c r="CL2" s="27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7"/>
    </row>
    <row r="3" spans="1:146" ht="26.25" customHeight="1">
      <c r="A3" s="1" t="s">
        <v>0</v>
      </c>
      <c r="C3" s="21"/>
      <c r="D3" s="22"/>
      <c r="E3" s="22"/>
      <c r="F3" s="22"/>
      <c r="G3" s="19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5"/>
      <c r="Z3" s="25"/>
      <c r="AA3" s="25"/>
      <c r="AC3" s="25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7"/>
      <c r="CL3" s="27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7"/>
    </row>
    <row r="4" spans="1:146" ht="26.25" customHeight="1">
      <c r="A4" s="1" t="s">
        <v>64</v>
      </c>
      <c r="C4" s="21"/>
      <c r="D4" s="22"/>
      <c r="E4" s="22"/>
      <c r="F4" s="22"/>
      <c r="G4" s="19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5"/>
      <c r="Z4" s="25"/>
      <c r="AA4" s="25"/>
      <c r="AC4" s="25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7"/>
      <c r="CL4" s="27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7"/>
    </row>
    <row r="5" spans="1:146" ht="26.25" customHeight="1">
      <c r="A5" s="1" t="s">
        <v>77</v>
      </c>
      <c r="C5" s="21"/>
      <c r="D5" s="22"/>
      <c r="E5" s="22"/>
      <c r="F5" s="22"/>
      <c r="G5" s="19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5"/>
      <c r="Z5" s="25"/>
      <c r="AA5" s="25"/>
      <c r="AC5" s="25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</row>
    <row r="6" spans="1:146" ht="26.25" customHeight="1">
      <c r="A6" s="1" t="s">
        <v>1</v>
      </c>
      <c r="C6" s="21"/>
      <c r="D6" s="22"/>
      <c r="E6" s="22"/>
      <c r="F6" s="22"/>
      <c r="G6" s="19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5"/>
      <c r="Z6" s="25"/>
      <c r="AA6" s="25"/>
      <c r="AC6" s="25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</row>
    <row r="7" spans="1:146" ht="13" customHeight="1">
      <c r="A7" s="1"/>
      <c r="C7" s="21"/>
      <c r="D7" s="22"/>
      <c r="E7" s="22"/>
      <c r="F7" s="22"/>
      <c r="G7" s="19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5"/>
      <c r="Z7" s="25"/>
      <c r="AA7" s="25"/>
      <c r="AC7" s="25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</row>
    <row r="8" spans="1:146" ht="26.25" customHeight="1">
      <c r="A8" s="1" t="s">
        <v>0</v>
      </c>
      <c r="C8" s="21"/>
      <c r="D8" s="22"/>
      <c r="E8" s="22"/>
      <c r="F8" s="22"/>
      <c r="G8" s="19"/>
      <c r="H8" s="23"/>
      <c r="I8" s="24"/>
      <c r="J8" s="23"/>
      <c r="K8" s="23"/>
      <c r="L8" s="23"/>
      <c r="M8" s="23"/>
      <c r="N8" s="25"/>
      <c r="O8" s="25"/>
      <c r="P8" s="25"/>
      <c r="Q8" s="25"/>
      <c r="R8" s="26"/>
      <c r="S8" s="25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7"/>
      <c r="AZ8" s="27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7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</row>
    <row r="9" spans="1:146" ht="20" customHeight="1">
      <c r="A9" s="1" t="s">
        <v>191</v>
      </c>
      <c r="B9" s="1" t="s">
        <v>197</v>
      </c>
      <c r="C9" s="218" t="s">
        <v>192</v>
      </c>
      <c r="D9" s="22"/>
      <c r="E9" s="22"/>
      <c r="F9" s="22"/>
      <c r="G9" s="19"/>
      <c r="H9" s="23"/>
      <c r="I9" s="24"/>
      <c r="J9" s="23"/>
      <c r="K9" s="23"/>
      <c r="L9" s="23"/>
      <c r="M9" s="23"/>
      <c r="N9" s="25"/>
      <c r="O9" s="25"/>
      <c r="P9" s="25"/>
      <c r="Q9" s="25"/>
      <c r="R9" s="26"/>
      <c r="S9" s="25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7"/>
      <c r="AZ9" s="27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7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</row>
    <row r="10" spans="1:146" ht="20" customHeight="1">
      <c r="A10" s="1" t="s">
        <v>201</v>
      </c>
      <c r="B10" s="1" t="s">
        <v>197</v>
      </c>
      <c r="C10" s="21" t="s">
        <v>196</v>
      </c>
      <c r="D10" s="22"/>
      <c r="E10" s="22"/>
      <c r="F10" s="22"/>
      <c r="G10" s="19"/>
      <c r="H10" s="23"/>
      <c r="I10" s="24"/>
      <c r="J10" s="23"/>
      <c r="K10" s="23"/>
      <c r="L10" s="23"/>
      <c r="M10" s="23"/>
      <c r="N10" s="25"/>
      <c r="O10" s="25"/>
      <c r="P10" s="25"/>
      <c r="Q10" s="25"/>
      <c r="R10" s="26"/>
      <c r="S10" s="25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</row>
    <row r="11" spans="1:146" ht="20" customHeight="1">
      <c r="A11" s="1" t="s">
        <v>200</v>
      </c>
      <c r="B11" s="1" t="s">
        <v>197</v>
      </c>
      <c r="C11" s="21"/>
      <c r="D11" s="22"/>
      <c r="E11" s="22"/>
      <c r="F11" s="22"/>
      <c r="G11" s="19"/>
      <c r="H11" s="23"/>
      <c r="I11" s="24"/>
      <c r="J11" s="23"/>
      <c r="K11" s="23"/>
      <c r="L11" s="23"/>
      <c r="M11" s="23"/>
      <c r="N11" s="25"/>
      <c r="O11" s="25"/>
      <c r="P11" s="25"/>
      <c r="Q11" s="25"/>
      <c r="R11" s="26"/>
      <c r="S11" s="25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</row>
    <row r="12" spans="1:146" ht="20" customHeight="1">
      <c r="A12" s="1" t="s">
        <v>202</v>
      </c>
      <c r="B12" s="1" t="s">
        <v>197</v>
      </c>
      <c r="C12" s="218" t="s">
        <v>194</v>
      </c>
      <c r="D12" s="22"/>
      <c r="E12" s="22"/>
      <c r="F12" s="22"/>
      <c r="G12" s="19"/>
      <c r="H12" s="23"/>
      <c r="I12" s="24"/>
      <c r="J12" s="23"/>
      <c r="K12" s="23"/>
      <c r="L12" s="23"/>
      <c r="M12" s="23"/>
      <c r="N12" s="25"/>
      <c r="O12" s="31"/>
      <c r="P12" s="25"/>
      <c r="Q12" s="25"/>
      <c r="R12" s="26"/>
      <c r="S12" s="25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</row>
    <row r="13" spans="1:146" ht="20" customHeight="1">
      <c r="A13" s="1" t="s">
        <v>198</v>
      </c>
      <c r="B13" s="1" t="s">
        <v>197</v>
      </c>
      <c r="C13" s="218" t="s">
        <v>193</v>
      </c>
      <c r="G13" s="29"/>
    </row>
    <row r="14" spans="1:146" ht="20" customHeight="1">
      <c r="A14" s="1" t="s">
        <v>199</v>
      </c>
      <c r="B14" s="1" t="s">
        <v>197</v>
      </c>
      <c r="C14" s="218" t="s">
        <v>195</v>
      </c>
      <c r="G14" s="29"/>
    </row>
    <row r="15" spans="1:146" s="146" customFormat="1" ht="15" customHeight="1">
      <c r="A15" s="144"/>
      <c r="B15" s="145">
        <v>1</v>
      </c>
      <c r="C15" s="145">
        <v>2</v>
      </c>
      <c r="D15" s="145">
        <v>3</v>
      </c>
      <c r="E15" s="145">
        <v>4</v>
      </c>
      <c r="F15" s="145">
        <v>5</v>
      </c>
      <c r="G15" s="145">
        <v>6</v>
      </c>
      <c r="H15" s="145">
        <v>7</v>
      </c>
      <c r="I15" s="145">
        <v>8</v>
      </c>
      <c r="J15" s="145">
        <v>9</v>
      </c>
      <c r="K15" s="145">
        <v>10</v>
      </c>
      <c r="L15" s="145">
        <v>11</v>
      </c>
      <c r="M15" s="145">
        <v>12</v>
      </c>
      <c r="N15" s="145">
        <v>13</v>
      </c>
      <c r="O15" s="145">
        <v>14</v>
      </c>
      <c r="P15" s="145">
        <v>15</v>
      </c>
      <c r="Q15" s="145">
        <v>16</v>
      </c>
      <c r="R15" s="145">
        <v>17</v>
      </c>
      <c r="S15" s="145">
        <v>18</v>
      </c>
      <c r="T15" s="145">
        <v>19</v>
      </c>
      <c r="U15" s="145">
        <v>20</v>
      </c>
      <c r="V15" s="145">
        <v>21</v>
      </c>
      <c r="W15" s="145">
        <v>22</v>
      </c>
      <c r="X15" s="145">
        <v>23</v>
      </c>
      <c r="Y15" s="145">
        <v>24</v>
      </c>
      <c r="Z15" s="145">
        <v>25</v>
      </c>
      <c r="AA15" s="145">
        <v>26</v>
      </c>
      <c r="AB15" s="145">
        <v>27</v>
      </c>
      <c r="AC15" s="145">
        <v>28</v>
      </c>
      <c r="AD15" s="145">
        <v>29</v>
      </c>
      <c r="AE15" s="145">
        <v>30</v>
      </c>
      <c r="AF15" s="145">
        <v>31</v>
      </c>
      <c r="AG15" s="145">
        <v>32</v>
      </c>
      <c r="AH15" s="145">
        <v>33</v>
      </c>
      <c r="AI15" s="145">
        <v>34</v>
      </c>
      <c r="AJ15" s="145">
        <v>35</v>
      </c>
      <c r="AK15" s="145">
        <v>36</v>
      </c>
      <c r="AL15" s="145">
        <v>37</v>
      </c>
      <c r="AM15" s="145">
        <v>38</v>
      </c>
      <c r="AN15" s="145">
        <v>39</v>
      </c>
      <c r="AO15" s="145">
        <v>40</v>
      </c>
      <c r="AP15" s="145">
        <v>41</v>
      </c>
      <c r="AQ15" s="145">
        <v>42</v>
      </c>
      <c r="AR15" s="145">
        <v>43</v>
      </c>
      <c r="AS15" s="145">
        <v>44</v>
      </c>
      <c r="AT15" s="145">
        <v>45</v>
      </c>
      <c r="AU15" s="145">
        <v>46</v>
      </c>
      <c r="AV15" s="145">
        <v>47</v>
      </c>
      <c r="AW15" s="145">
        <v>48</v>
      </c>
      <c r="AX15" s="145">
        <v>49</v>
      </c>
      <c r="AY15" s="145">
        <v>50</v>
      </c>
      <c r="AZ15" s="145">
        <v>51</v>
      </c>
      <c r="BA15" s="145">
        <v>52</v>
      </c>
      <c r="BB15" s="145">
        <v>53</v>
      </c>
      <c r="BC15" s="145">
        <v>54</v>
      </c>
      <c r="BD15" s="145">
        <v>55</v>
      </c>
      <c r="BE15" s="145">
        <v>56</v>
      </c>
      <c r="BF15" s="145">
        <v>57</v>
      </c>
      <c r="BG15" s="145">
        <v>58</v>
      </c>
      <c r="BH15" s="145">
        <v>59</v>
      </c>
      <c r="BI15" s="145">
        <v>60</v>
      </c>
      <c r="BJ15" s="145">
        <v>61</v>
      </c>
      <c r="BK15" s="145">
        <v>62</v>
      </c>
      <c r="BL15" s="145">
        <v>63</v>
      </c>
      <c r="BM15" s="145">
        <v>64</v>
      </c>
      <c r="BN15" s="145">
        <v>65</v>
      </c>
      <c r="BO15" s="145">
        <v>66</v>
      </c>
      <c r="BP15" s="145">
        <v>67</v>
      </c>
      <c r="BQ15" s="145">
        <v>68</v>
      </c>
      <c r="BR15" s="145">
        <v>69</v>
      </c>
      <c r="BS15" s="145">
        <v>70</v>
      </c>
      <c r="BT15" s="145">
        <v>71</v>
      </c>
      <c r="BU15" s="145">
        <v>72</v>
      </c>
      <c r="BV15" s="145">
        <v>73</v>
      </c>
      <c r="BW15" s="145">
        <v>74</v>
      </c>
      <c r="BX15" s="145">
        <v>75</v>
      </c>
      <c r="BY15" s="145">
        <v>76</v>
      </c>
      <c r="BZ15" s="145">
        <v>77</v>
      </c>
      <c r="CA15" s="145">
        <v>78</v>
      </c>
      <c r="CB15" s="145">
        <v>79</v>
      </c>
      <c r="CC15" s="145">
        <v>80</v>
      </c>
      <c r="CD15" s="145">
        <v>81</v>
      </c>
      <c r="CE15" s="145">
        <v>82</v>
      </c>
      <c r="CF15" s="145">
        <v>83</v>
      </c>
      <c r="CG15" s="145">
        <v>84</v>
      </c>
      <c r="CH15" s="145">
        <v>85</v>
      </c>
      <c r="CI15" s="145">
        <v>86</v>
      </c>
      <c r="CJ15" s="145">
        <v>87</v>
      </c>
      <c r="CK15" s="145">
        <v>88</v>
      </c>
      <c r="CL15" s="145">
        <v>89</v>
      </c>
      <c r="CM15" s="145">
        <v>90</v>
      </c>
      <c r="CN15" s="145">
        <v>91</v>
      </c>
      <c r="CO15" s="145">
        <v>92</v>
      </c>
      <c r="CP15" s="145">
        <v>93</v>
      </c>
      <c r="CQ15" s="145">
        <v>94</v>
      </c>
      <c r="CR15" s="145">
        <v>95</v>
      </c>
      <c r="CS15" s="145">
        <v>96</v>
      </c>
      <c r="CT15" s="145">
        <v>97</v>
      </c>
      <c r="CU15" s="145">
        <v>98</v>
      </c>
      <c r="CV15" s="145">
        <v>99</v>
      </c>
      <c r="CW15" s="145">
        <v>100</v>
      </c>
      <c r="CX15" s="145">
        <v>101</v>
      </c>
      <c r="CY15" s="145">
        <v>102</v>
      </c>
      <c r="CZ15" s="145">
        <v>103</v>
      </c>
      <c r="DA15" s="145">
        <v>104</v>
      </c>
      <c r="DB15" s="145">
        <v>105</v>
      </c>
      <c r="DC15" s="145">
        <v>106</v>
      </c>
      <c r="DD15" s="145">
        <v>107</v>
      </c>
      <c r="DE15" s="145">
        <v>108</v>
      </c>
      <c r="DF15" s="145">
        <v>109</v>
      </c>
      <c r="DG15" s="145">
        <v>110</v>
      </c>
      <c r="DH15" s="145">
        <v>111</v>
      </c>
      <c r="DI15" s="145">
        <v>112</v>
      </c>
      <c r="DJ15" s="145">
        <v>113</v>
      </c>
      <c r="DK15" s="145">
        <v>114</v>
      </c>
      <c r="DL15" s="145">
        <v>115</v>
      </c>
      <c r="DM15" s="145">
        <v>116</v>
      </c>
      <c r="DN15" s="145">
        <v>117</v>
      </c>
      <c r="DO15" s="145">
        <v>118</v>
      </c>
      <c r="DP15" s="145">
        <v>119</v>
      </c>
      <c r="DQ15" s="145">
        <v>120</v>
      </c>
      <c r="DR15" s="145">
        <v>121</v>
      </c>
      <c r="DS15" s="145">
        <v>122</v>
      </c>
      <c r="DT15" s="145">
        <v>123</v>
      </c>
      <c r="DU15" s="145">
        <v>124</v>
      </c>
      <c r="DV15" s="145">
        <v>125</v>
      </c>
      <c r="DW15" s="145">
        <v>126</v>
      </c>
      <c r="DX15" s="145">
        <v>127</v>
      </c>
      <c r="DY15" s="145">
        <v>128</v>
      </c>
      <c r="DZ15" s="145">
        <v>129</v>
      </c>
      <c r="EA15" s="145">
        <v>130</v>
      </c>
      <c r="EB15" s="145">
        <v>131</v>
      </c>
      <c r="EC15" s="145">
        <v>132</v>
      </c>
      <c r="ED15" s="145">
        <v>133</v>
      </c>
      <c r="EE15" s="145">
        <v>134</v>
      </c>
      <c r="EF15" s="145">
        <v>135</v>
      </c>
      <c r="EG15" s="145">
        <v>136</v>
      </c>
      <c r="EH15" s="145">
        <v>137</v>
      </c>
      <c r="EI15" s="145">
        <v>138</v>
      </c>
      <c r="EJ15" s="145">
        <v>139</v>
      </c>
      <c r="EK15" s="145">
        <v>140</v>
      </c>
      <c r="EL15" s="145">
        <v>141</v>
      </c>
      <c r="EM15" s="145">
        <v>142</v>
      </c>
      <c r="EN15" s="145">
        <v>143</v>
      </c>
      <c r="EO15" s="145">
        <v>144</v>
      </c>
      <c r="EP15" s="145">
        <v>145</v>
      </c>
    </row>
    <row r="16" spans="1:146" s="3" customFormat="1" ht="78" customHeight="1" thickBot="1">
      <c r="A16" s="189" t="s">
        <v>2</v>
      </c>
      <c r="B16" s="189" t="s">
        <v>142</v>
      </c>
      <c r="C16" s="192" t="s">
        <v>141</v>
      </c>
      <c r="D16" s="180" t="s">
        <v>140</v>
      </c>
      <c r="E16" s="180" t="s">
        <v>138</v>
      </c>
      <c r="F16" s="183" t="s">
        <v>139</v>
      </c>
      <c r="G16" s="183" t="s">
        <v>135</v>
      </c>
      <c r="H16" s="147" t="s">
        <v>136</v>
      </c>
      <c r="I16" s="186" t="s">
        <v>137</v>
      </c>
      <c r="J16" s="208" t="s">
        <v>65</v>
      </c>
      <c r="K16" s="195"/>
      <c r="L16" s="208" t="s">
        <v>147</v>
      </c>
      <c r="M16" s="195"/>
      <c r="N16" s="199"/>
      <c r="O16" s="202"/>
      <c r="P16" s="205" t="s">
        <v>184</v>
      </c>
      <c r="Q16" s="205"/>
      <c r="R16" s="206" t="s">
        <v>185</v>
      </c>
      <c r="S16" s="207"/>
      <c r="T16" s="205" t="s">
        <v>186</v>
      </c>
      <c r="U16" s="205"/>
      <c r="V16" s="209" t="s">
        <v>3</v>
      </c>
      <c r="W16" s="210"/>
      <c r="X16" s="211" t="s">
        <v>66</v>
      </c>
      <c r="Y16" s="212"/>
      <c r="Z16" s="212"/>
      <c r="AA16" s="196"/>
      <c r="AB16" s="196"/>
      <c r="AC16" s="196"/>
      <c r="AD16" s="39"/>
      <c r="AE16" s="147" t="s">
        <v>78</v>
      </c>
      <c r="AF16" s="147" t="s">
        <v>11</v>
      </c>
      <c r="AG16" s="141" t="s">
        <v>12</v>
      </c>
      <c r="AH16" s="142"/>
      <c r="AI16" s="142"/>
      <c r="AJ16" s="142"/>
      <c r="AK16" s="142"/>
      <c r="AL16" s="143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00"/>
      <c r="BN16" s="100"/>
      <c r="BO16" s="100"/>
      <c r="BP16" s="100"/>
      <c r="BQ16" s="100"/>
      <c r="BR16" s="100"/>
      <c r="BS16" s="100"/>
      <c r="BT16" s="100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68"/>
      <c r="CG16" s="168" t="s">
        <v>133</v>
      </c>
      <c r="CH16" s="147" t="s">
        <v>132</v>
      </c>
      <c r="CI16" s="147" t="s">
        <v>131</v>
      </c>
      <c r="CJ16" s="147" t="s">
        <v>130</v>
      </c>
      <c r="CK16" s="147" t="s">
        <v>109</v>
      </c>
      <c r="CL16" s="147" t="s">
        <v>134</v>
      </c>
      <c r="CM16" s="141"/>
      <c r="CN16" s="142"/>
      <c r="CO16" s="142"/>
      <c r="CP16" s="142"/>
      <c r="CQ16" s="142"/>
      <c r="CR16" s="143"/>
      <c r="CS16" s="143"/>
      <c r="CT16" s="142" t="s">
        <v>13</v>
      </c>
      <c r="CU16" s="143"/>
      <c r="CV16" s="142"/>
      <c r="CW16" s="142"/>
      <c r="CX16" s="142"/>
      <c r="CY16" s="142"/>
      <c r="CZ16" s="147" t="s">
        <v>143</v>
      </c>
      <c r="DA16" s="165" t="s">
        <v>144</v>
      </c>
      <c r="DB16" s="154" t="s">
        <v>74</v>
      </c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6"/>
      <c r="DO16" s="162" t="s">
        <v>14</v>
      </c>
      <c r="DP16" s="162" t="s">
        <v>15</v>
      </c>
      <c r="DQ16" s="154" t="s">
        <v>75</v>
      </c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6"/>
      <c r="ED16" s="154" t="s">
        <v>188</v>
      </c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6"/>
    </row>
    <row r="17" spans="1:146" s="3" customFormat="1" ht="45" customHeight="1">
      <c r="A17" s="190"/>
      <c r="B17" s="190"/>
      <c r="C17" s="193"/>
      <c r="D17" s="181"/>
      <c r="E17" s="181"/>
      <c r="F17" s="184"/>
      <c r="G17" s="184"/>
      <c r="H17" s="148"/>
      <c r="I17" s="187"/>
      <c r="J17" s="147" t="s">
        <v>18</v>
      </c>
      <c r="K17" s="147" t="s">
        <v>19</v>
      </c>
      <c r="L17" s="147" t="s">
        <v>18</v>
      </c>
      <c r="M17" s="147" t="s">
        <v>19</v>
      </c>
      <c r="N17" s="204" t="s">
        <v>18</v>
      </c>
      <c r="O17" s="203" t="s">
        <v>183</v>
      </c>
      <c r="P17" s="147" t="s">
        <v>18</v>
      </c>
      <c r="Q17" s="147" t="s">
        <v>19</v>
      </c>
      <c r="R17" s="147" t="s">
        <v>18</v>
      </c>
      <c r="S17" s="147" t="s">
        <v>19</v>
      </c>
      <c r="T17" s="147" t="s">
        <v>18</v>
      </c>
      <c r="U17" s="147" t="s">
        <v>19</v>
      </c>
      <c r="V17" s="147" t="s">
        <v>128</v>
      </c>
      <c r="W17" s="147" t="s">
        <v>19</v>
      </c>
      <c r="X17" s="40" t="s">
        <v>4</v>
      </c>
      <c r="Y17" s="40" t="s">
        <v>5</v>
      </c>
      <c r="Z17" s="40" t="s">
        <v>6</v>
      </c>
      <c r="AA17" s="40" t="s">
        <v>7</v>
      </c>
      <c r="AB17" s="41" t="s">
        <v>8</v>
      </c>
      <c r="AC17" s="40" t="s">
        <v>9</v>
      </c>
      <c r="AD17" s="2" t="s">
        <v>10</v>
      </c>
      <c r="AE17" s="148"/>
      <c r="AF17" s="148"/>
      <c r="AG17" s="147" t="s">
        <v>88</v>
      </c>
      <c r="AH17" s="147" t="s">
        <v>89</v>
      </c>
      <c r="AI17" s="147" t="s">
        <v>90</v>
      </c>
      <c r="AJ17" s="147" t="s">
        <v>91</v>
      </c>
      <c r="AK17" s="147" t="s">
        <v>117</v>
      </c>
      <c r="AL17" s="147" t="s">
        <v>92</v>
      </c>
      <c r="AM17" s="147" t="s">
        <v>93</v>
      </c>
      <c r="AN17" s="147" t="s">
        <v>94</v>
      </c>
      <c r="AO17" s="147" t="s">
        <v>95</v>
      </c>
      <c r="AP17" s="147" t="s">
        <v>118</v>
      </c>
      <c r="AQ17" s="147" t="s">
        <v>96</v>
      </c>
      <c r="AR17" s="147" t="s">
        <v>119</v>
      </c>
      <c r="AS17" s="147" t="s">
        <v>97</v>
      </c>
      <c r="AT17" s="147" t="s">
        <v>120</v>
      </c>
      <c r="AU17" s="147" t="s">
        <v>98</v>
      </c>
      <c r="AV17" s="147" t="s">
        <v>99</v>
      </c>
      <c r="AW17" s="147" t="s">
        <v>100</v>
      </c>
      <c r="AX17" s="147" t="s">
        <v>101</v>
      </c>
      <c r="AY17" s="147" t="s">
        <v>102</v>
      </c>
      <c r="AZ17" s="147" t="s">
        <v>103</v>
      </c>
      <c r="BA17" s="147" t="s">
        <v>104</v>
      </c>
      <c r="BB17" s="147" t="s">
        <v>105</v>
      </c>
      <c r="BC17" s="147" t="s">
        <v>122</v>
      </c>
      <c r="BD17" s="147" t="s">
        <v>121</v>
      </c>
      <c r="BE17" s="147" t="s">
        <v>108</v>
      </c>
      <c r="BF17" s="147" t="s">
        <v>106</v>
      </c>
      <c r="BG17" s="147" t="s">
        <v>107</v>
      </c>
      <c r="BH17" s="147" t="s">
        <v>123</v>
      </c>
      <c r="BI17" s="147" t="s">
        <v>124</v>
      </c>
      <c r="BJ17" s="147" t="s">
        <v>109</v>
      </c>
      <c r="BK17" s="147" t="s">
        <v>110</v>
      </c>
      <c r="BL17" s="147" t="s">
        <v>111</v>
      </c>
      <c r="BM17" s="171" t="s">
        <v>79</v>
      </c>
      <c r="BN17" s="172"/>
      <c r="BO17" s="171" t="s">
        <v>80</v>
      </c>
      <c r="BP17" s="172"/>
      <c r="BQ17" s="171" t="s">
        <v>16</v>
      </c>
      <c r="BR17" s="172"/>
      <c r="BS17" s="171" t="s">
        <v>81</v>
      </c>
      <c r="BT17" s="172"/>
      <c r="BU17" s="173" t="s">
        <v>82</v>
      </c>
      <c r="BV17" s="174"/>
      <c r="BW17" s="173" t="s">
        <v>83</v>
      </c>
      <c r="BX17" s="174"/>
      <c r="BY17" s="173" t="s">
        <v>84</v>
      </c>
      <c r="BZ17" s="175"/>
      <c r="CA17" s="176" t="s">
        <v>85</v>
      </c>
      <c r="CB17" s="177"/>
      <c r="CC17" s="178" t="s">
        <v>86</v>
      </c>
      <c r="CD17" s="179"/>
      <c r="CE17" s="178" t="s">
        <v>87</v>
      </c>
      <c r="CF17" s="179"/>
      <c r="CG17" s="169"/>
      <c r="CH17" s="148"/>
      <c r="CI17" s="148"/>
      <c r="CJ17" s="148"/>
      <c r="CK17" s="148"/>
      <c r="CL17" s="148"/>
      <c r="CM17" s="150" t="s">
        <v>45</v>
      </c>
      <c r="CN17" s="150" t="s">
        <v>129</v>
      </c>
      <c r="CO17" s="150" t="s">
        <v>112</v>
      </c>
      <c r="CP17" s="214" t="s">
        <v>190</v>
      </c>
      <c r="CQ17" s="160" t="s">
        <v>113</v>
      </c>
      <c r="CR17" s="152" t="s">
        <v>114</v>
      </c>
      <c r="CS17" s="152" t="s">
        <v>187</v>
      </c>
      <c r="CT17" s="152" t="s">
        <v>115</v>
      </c>
      <c r="CU17" s="152" t="s">
        <v>116</v>
      </c>
      <c r="CV17" s="152" t="s">
        <v>126</v>
      </c>
      <c r="CW17" s="150" t="s">
        <v>125</v>
      </c>
      <c r="CX17" s="150" t="s">
        <v>127</v>
      </c>
      <c r="CY17" s="150" t="s">
        <v>111</v>
      </c>
      <c r="CZ17" s="148"/>
      <c r="DA17" s="166"/>
      <c r="DB17" s="157"/>
      <c r="DC17" s="158"/>
      <c r="DD17" s="158"/>
      <c r="DE17" s="158"/>
      <c r="DF17" s="158"/>
      <c r="DG17" s="158"/>
      <c r="DH17" s="158"/>
      <c r="DI17" s="158"/>
      <c r="DJ17" s="158"/>
      <c r="DK17" s="158"/>
      <c r="DL17" s="158"/>
      <c r="DM17" s="158"/>
      <c r="DN17" s="159"/>
      <c r="DO17" s="163"/>
      <c r="DP17" s="163"/>
      <c r="DQ17" s="157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8"/>
      <c r="EC17" s="159"/>
      <c r="ED17" s="157"/>
      <c r="EE17" s="158"/>
      <c r="EF17" s="158"/>
      <c r="EG17" s="158"/>
      <c r="EH17" s="158"/>
      <c r="EI17" s="158"/>
      <c r="EJ17" s="158"/>
      <c r="EK17" s="158"/>
      <c r="EL17" s="158"/>
      <c r="EM17" s="158"/>
      <c r="EN17" s="158"/>
      <c r="EO17" s="158"/>
      <c r="EP17" s="159"/>
    </row>
    <row r="18" spans="1:146" s="3" customFormat="1" ht="23.5" customHeight="1">
      <c r="A18" s="191"/>
      <c r="B18" s="191"/>
      <c r="C18" s="194"/>
      <c r="D18" s="182"/>
      <c r="E18" s="182"/>
      <c r="F18" s="185"/>
      <c r="G18" s="185"/>
      <c r="H18" s="149"/>
      <c r="I18" s="188"/>
      <c r="J18" s="149"/>
      <c r="K18" s="149"/>
      <c r="L18" s="149"/>
      <c r="M18" s="149"/>
      <c r="N18" s="200"/>
      <c r="O18" s="201"/>
      <c r="P18" s="149"/>
      <c r="Q18" s="149"/>
      <c r="R18" s="149"/>
      <c r="S18" s="149"/>
      <c r="T18" s="149"/>
      <c r="U18" s="149"/>
      <c r="V18" s="149"/>
      <c r="W18" s="149"/>
      <c r="X18" s="42" t="s">
        <v>18</v>
      </c>
      <c r="Y18" s="42" t="s">
        <v>18</v>
      </c>
      <c r="Z18" s="42" t="s">
        <v>18</v>
      </c>
      <c r="AA18" s="42" t="s">
        <v>18</v>
      </c>
      <c r="AB18" s="42" t="s">
        <v>18</v>
      </c>
      <c r="AC18" s="42" t="s">
        <v>18</v>
      </c>
      <c r="AD18" s="42" t="s">
        <v>18</v>
      </c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47" t="s">
        <v>128</v>
      </c>
      <c r="BN18" s="47" t="s">
        <v>67</v>
      </c>
      <c r="BO18" s="47" t="s">
        <v>128</v>
      </c>
      <c r="BP18" s="47" t="s">
        <v>67</v>
      </c>
      <c r="BQ18" s="47" t="s">
        <v>128</v>
      </c>
      <c r="BR18" s="47" t="s">
        <v>67</v>
      </c>
      <c r="BS18" s="47" t="s">
        <v>20</v>
      </c>
      <c r="BT18" s="47" t="s">
        <v>67</v>
      </c>
      <c r="BU18" s="48" t="s">
        <v>128</v>
      </c>
      <c r="BV18" s="48" t="s">
        <v>67</v>
      </c>
      <c r="BW18" s="48" t="s">
        <v>128</v>
      </c>
      <c r="BX18" s="48" t="s">
        <v>67</v>
      </c>
      <c r="BY18" s="48" t="s">
        <v>128</v>
      </c>
      <c r="BZ18" s="49" t="s">
        <v>67</v>
      </c>
      <c r="CA18" s="50" t="s">
        <v>128</v>
      </c>
      <c r="CB18" s="51" t="s">
        <v>67</v>
      </c>
      <c r="CC18" s="50" t="s">
        <v>128</v>
      </c>
      <c r="CD18" s="52" t="s">
        <v>67</v>
      </c>
      <c r="CE18" s="50" t="s">
        <v>128</v>
      </c>
      <c r="CF18" s="52" t="s">
        <v>67</v>
      </c>
      <c r="CG18" s="170"/>
      <c r="CH18" s="149"/>
      <c r="CI18" s="149"/>
      <c r="CJ18" s="149"/>
      <c r="CK18" s="149"/>
      <c r="CL18" s="149"/>
      <c r="CM18" s="151"/>
      <c r="CN18" s="151"/>
      <c r="CO18" s="151"/>
      <c r="CP18" s="215"/>
      <c r="CQ18" s="161"/>
      <c r="CR18" s="153"/>
      <c r="CS18" s="153"/>
      <c r="CT18" s="153"/>
      <c r="CU18" s="153"/>
      <c r="CV18" s="153"/>
      <c r="CW18" s="151"/>
      <c r="CX18" s="151"/>
      <c r="CY18" s="151"/>
      <c r="CZ18" s="149"/>
      <c r="DA18" s="167"/>
      <c r="DB18" s="96" t="s">
        <v>21</v>
      </c>
      <c r="DC18" s="97" t="s">
        <v>22</v>
      </c>
      <c r="DD18" s="97" t="s">
        <v>23</v>
      </c>
      <c r="DE18" s="97" t="s">
        <v>24</v>
      </c>
      <c r="DF18" s="97" t="s">
        <v>25</v>
      </c>
      <c r="DG18" s="97" t="s">
        <v>26</v>
      </c>
      <c r="DH18" s="97" t="s">
        <v>27</v>
      </c>
      <c r="DI18" s="97" t="s">
        <v>28</v>
      </c>
      <c r="DJ18" s="97" t="s">
        <v>29</v>
      </c>
      <c r="DK18" s="97" t="s">
        <v>30</v>
      </c>
      <c r="DL18" s="97" t="s">
        <v>31</v>
      </c>
      <c r="DM18" s="97" t="s">
        <v>32</v>
      </c>
      <c r="DN18" s="97" t="s">
        <v>33</v>
      </c>
      <c r="DO18" s="164"/>
      <c r="DP18" s="164"/>
      <c r="DQ18" s="98" t="s">
        <v>21</v>
      </c>
      <c r="DR18" s="99" t="s">
        <v>22</v>
      </c>
      <c r="DS18" s="99" t="s">
        <v>23</v>
      </c>
      <c r="DT18" s="99" t="s">
        <v>24</v>
      </c>
      <c r="DU18" s="99" t="s">
        <v>25</v>
      </c>
      <c r="DV18" s="99" t="s">
        <v>26</v>
      </c>
      <c r="DW18" s="99" t="s">
        <v>27</v>
      </c>
      <c r="DX18" s="99" t="s">
        <v>28</v>
      </c>
      <c r="DY18" s="99" t="s">
        <v>29</v>
      </c>
      <c r="DZ18" s="99" t="s">
        <v>30</v>
      </c>
      <c r="EA18" s="99" t="s">
        <v>31</v>
      </c>
      <c r="EB18" s="99" t="s">
        <v>32</v>
      </c>
      <c r="EC18" s="99" t="s">
        <v>33</v>
      </c>
      <c r="ED18" s="98" t="s">
        <v>21</v>
      </c>
      <c r="EE18" s="99" t="s">
        <v>22</v>
      </c>
      <c r="EF18" s="99" t="s">
        <v>23</v>
      </c>
      <c r="EG18" s="99" t="s">
        <v>24</v>
      </c>
      <c r="EH18" s="99" t="s">
        <v>25</v>
      </c>
      <c r="EI18" s="99" t="s">
        <v>26</v>
      </c>
      <c r="EJ18" s="99" t="s">
        <v>27</v>
      </c>
      <c r="EK18" s="99" t="s">
        <v>28</v>
      </c>
      <c r="EL18" s="99" t="s">
        <v>29</v>
      </c>
      <c r="EM18" s="99" t="s">
        <v>30</v>
      </c>
      <c r="EN18" s="99" t="s">
        <v>31</v>
      </c>
      <c r="EO18" s="99" t="s">
        <v>32</v>
      </c>
      <c r="EP18" s="99" t="s">
        <v>33</v>
      </c>
    </row>
    <row r="19" spans="1:146" s="18" customFormat="1" ht="35" customHeight="1">
      <c r="A19" s="4">
        <v>1</v>
      </c>
      <c r="B19" s="5" t="s">
        <v>58</v>
      </c>
      <c r="C19" s="6" t="s">
        <v>63</v>
      </c>
      <c r="D19" s="7">
        <v>1320501333512</v>
      </c>
      <c r="E19" s="7" t="s">
        <v>59</v>
      </c>
      <c r="F19" s="8" t="s">
        <v>34</v>
      </c>
      <c r="G19" s="9">
        <v>44701</v>
      </c>
      <c r="H19" s="10" t="s">
        <v>76</v>
      </c>
      <c r="I19" s="11">
        <v>400</v>
      </c>
      <c r="J19" s="11">
        <v>26</v>
      </c>
      <c r="K19" s="11">
        <v>10400</v>
      </c>
      <c r="L19" s="11">
        <v>8</v>
      </c>
      <c r="M19" s="11"/>
      <c r="N19" s="11">
        <v>2</v>
      </c>
      <c r="O19" s="11"/>
      <c r="P19" s="11"/>
      <c r="Q19" s="11">
        <v>500</v>
      </c>
      <c r="R19" s="11">
        <v>5</v>
      </c>
      <c r="S19" s="11"/>
      <c r="T19" s="11"/>
      <c r="U19" s="11"/>
      <c r="V19" s="11">
        <v>8</v>
      </c>
      <c r="W19" s="11">
        <v>400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2">
        <v>0</v>
      </c>
      <c r="AE19" s="11">
        <v>0</v>
      </c>
      <c r="AF19" s="11">
        <v>10400</v>
      </c>
      <c r="AG19" s="11">
        <v>1300</v>
      </c>
      <c r="AH19" s="11">
        <v>1800</v>
      </c>
      <c r="AI19" s="11">
        <v>1200</v>
      </c>
      <c r="AJ19" s="11">
        <v>2900</v>
      </c>
      <c r="AK19" s="11">
        <v>1800</v>
      </c>
      <c r="AL19" s="94">
        <v>0</v>
      </c>
      <c r="AM19" s="11">
        <v>0</v>
      </c>
      <c r="AN19" s="11">
        <v>500</v>
      </c>
      <c r="AO19" s="11">
        <v>500</v>
      </c>
      <c r="AP19" s="11">
        <v>3000</v>
      </c>
      <c r="AQ19" s="11">
        <v>0</v>
      </c>
      <c r="AR19" s="11">
        <v>500</v>
      </c>
      <c r="AS19" s="11">
        <v>1350.04</v>
      </c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>
        <v>800</v>
      </c>
      <c r="BM19" s="11"/>
      <c r="BN19" s="11"/>
      <c r="BO19" s="11"/>
      <c r="BP19" s="11"/>
      <c r="BQ19" s="11"/>
      <c r="BR19" s="11"/>
      <c r="BS19" s="11"/>
      <c r="BT19" s="11"/>
      <c r="BU19" s="11">
        <v>32</v>
      </c>
      <c r="BV19" s="53">
        <v>3200</v>
      </c>
      <c r="BW19" s="53"/>
      <c r="BX19" s="53"/>
      <c r="BY19" s="11">
        <v>12</v>
      </c>
      <c r="BZ19" s="53">
        <v>1800</v>
      </c>
      <c r="CA19" s="11">
        <v>0</v>
      </c>
      <c r="CB19" s="53">
        <v>0</v>
      </c>
      <c r="CC19" s="53"/>
      <c r="CD19" s="53"/>
      <c r="CE19" s="11">
        <v>0</v>
      </c>
      <c r="CF19" s="53">
        <v>0</v>
      </c>
      <c r="CG19" s="43">
        <v>10850</v>
      </c>
      <c r="CH19" s="11">
        <v>14650.04</v>
      </c>
      <c r="CI19" s="94">
        <v>0</v>
      </c>
      <c r="CJ19" s="11">
        <v>0</v>
      </c>
      <c r="CK19" s="13"/>
      <c r="CL19" s="13">
        <v>35900.04</v>
      </c>
      <c r="CM19" s="11"/>
      <c r="CN19" s="11"/>
      <c r="CO19" s="14">
        <v>312</v>
      </c>
      <c r="CP19" s="14"/>
      <c r="CQ19" s="14"/>
      <c r="CR19" s="94"/>
      <c r="CS19" s="94"/>
      <c r="CT19" s="11">
        <v>0</v>
      </c>
      <c r="CU19" s="94"/>
      <c r="CV19" s="11">
        <v>0</v>
      </c>
      <c r="CW19" s="11"/>
      <c r="CX19" s="11"/>
      <c r="CY19" s="11">
        <v>0</v>
      </c>
      <c r="CZ19" s="95"/>
      <c r="DA19" s="13">
        <v>35588.04</v>
      </c>
      <c r="DB19" s="11">
        <v>24001.48</v>
      </c>
      <c r="DC19" s="11">
        <v>35900.04</v>
      </c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5">
        <v>59901.520000000004</v>
      </c>
      <c r="DO19" s="16">
        <v>-30659.239999999998</v>
      </c>
      <c r="DP19" s="17">
        <v>0</v>
      </c>
      <c r="DQ19" s="11">
        <v>298</v>
      </c>
      <c r="DR19" s="11">
        <v>312</v>
      </c>
      <c r="DS19" s="11"/>
      <c r="DT19" s="11"/>
      <c r="DU19" s="11"/>
      <c r="DV19" s="11"/>
      <c r="DW19" s="11"/>
      <c r="DX19" s="11"/>
      <c r="DY19" s="11"/>
      <c r="DZ19" s="11"/>
      <c r="EA19" s="11"/>
      <c r="EB19" s="14"/>
      <c r="EC19" s="15">
        <f>SUM(DQ19:EB19)</f>
        <v>610</v>
      </c>
      <c r="ED19" s="11">
        <f>CP19</f>
        <v>0</v>
      </c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4"/>
      <c r="EP19" s="15">
        <f>SUM(ED19:EO19)</f>
        <v>0</v>
      </c>
    </row>
    <row r="20" spans="1:146" s="18" customFormat="1" ht="35" customHeight="1">
      <c r="A20" s="4">
        <v>2</v>
      </c>
      <c r="B20" s="5" t="s">
        <v>70</v>
      </c>
      <c r="C20" s="6" t="s">
        <v>71</v>
      </c>
      <c r="D20" s="7">
        <v>1439900407436</v>
      </c>
      <c r="E20" s="7" t="s">
        <v>61</v>
      </c>
      <c r="F20" s="8" t="s">
        <v>34</v>
      </c>
      <c r="G20" s="9">
        <v>44732</v>
      </c>
      <c r="H20" s="10" t="s">
        <v>76</v>
      </c>
      <c r="I20" s="11">
        <v>400</v>
      </c>
      <c r="J20" s="11">
        <v>24</v>
      </c>
      <c r="K20" s="11">
        <v>9600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>
        <v>8</v>
      </c>
      <c r="W20" s="11">
        <v>400</v>
      </c>
      <c r="X20" s="11">
        <v>0</v>
      </c>
      <c r="Y20" s="11">
        <v>0</v>
      </c>
      <c r="Z20" s="11">
        <v>0</v>
      </c>
      <c r="AA20" s="11">
        <v>0</v>
      </c>
      <c r="AB20" s="11">
        <v>8</v>
      </c>
      <c r="AC20" s="11">
        <v>0</v>
      </c>
      <c r="AD20" s="12">
        <v>0</v>
      </c>
      <c r="AE20" s="11">
        <v>400</v>
      </c>
      <c r="AF20" s="11">
        <v>10400</v>
      </c>
      <c r="AG20" s="11">
        <v>1300</v>
      </c>
      <c r="AH20" s="11">
        <v>1750</v>
      </c>
      <c r="AI20" s="11">
        <v>1125</v>
      </c>
      <c r="AJ20" s="11">
        <v>800</v>
      </c>
      <c r="AK20" s="11">
        <v>1750</v>
      </c>
      <c r="AL20" s="94">
        <v>1750</v>
      </c>
      <c r="AM20" s="11">
        <v>2473.84</v>
      </c>
      <c r="AN20" s="11">
        <v>0</v>
      </c>
      <c r="AO20" s="11">
        <v>0</v>
      </c>
      <c r="AP20" s="11">
        <v>0</v>
      </c>
      <c r="AQ20" s="11">
        <v>0</v>
      </c>
      <c r="AR20" s="11">
        <v>500</v>
      </c>
      <c r="AS20" s="11">
        <v>0</v>
      </c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>
        <v>8</v>
      </c>
      <c r="BV20" s="53">
        <v>800</v>
      </c>
      <c r="BW20" s="53"/>
      <c r="BX20" s="53"/>
      <c r="BY20" s="11">
        <v>3</v>
      </c>
      <c r="BZ20" s="53">
        <v>450</v>
      </c>
      <c r="CA20" s="11">
        <v>0</v>
      </c>
      <c r="CB20" s="53">
        <v>0</v>
      </c>
      <c r="CC20" s="53"/>
      <c r="CD20" s="53"/>
      <c r="CE20" s="11">
        <v>0</v>
      </c>
      <c r="CF20" s="53">
        <v>0</v>
      </c>
      <c r="CG20" s="43">
        <v>6650</v>
      </c>
      <c r="CH20" s="11">
        <v>8748.84</v>
      </c>
      <c r="CI20" s="94">
        <v>0</v>
      </c>
      <c r="CJ20" s="11">
        <v>0</v>
      </c>
      <c r="CK20" s="13"/>
      <c r="CL20" s="13">
        <v>25798.84</v>
      </c>
      <c r="CM20" s="11"/>
      <c r="CN20" s="11"/>
      <c r="CO20" s="14">
        <v>312</v>
      </c>
      <c r="CP20" s="14"/>
      <c r="CQ20" s="14"/>
      <c r="CR20" s="94"/>
      <c r="CS20" s="94"/>
      <c r="CT20" s="11">
        <v>0</v>
      </c>
      <c r="CU20" s="11"/>
      <c r="CV20" s="11">
        <v>0</v>
      </c>
      <c r="CW20" s="11"/>
      <c r="CX20" s="11">
        <v>136</v>
      </c>
      <c r="CY20" s="11">
        <v>0</v>
      </c>
      <c r="CZ20" s="95"/>
      <c r="DA20" s="13">
        <v>25350.84</v>
      </c>
      <c r="DB20" s="11">
        <v>28036.720000000001</v>
      </c>
      <c r="DC20" s="11">
        <v>25798.84</v>
      </c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5">
        <v>53835.56</v>
      </c>
      <c r="DO20" s="16">
        <v>-33629.22</v>
      </c>
      <c r="DP20" s="17">
        <v>0</v>
      </c>
      <c r="DQ20" s="11">
        <v>235</v>
      </c>
      <c r="DR20" s="11">
        <v>312</v>
      </c>
      <c r="DS20" s="11"/>
      <c r="DT20" s="11"/>
      <c r="DU20" s="11"/>
      <c r="DV20" s="11"/>
      <c r="DW20" s="11"/>
      <c r="DX20" s="11"/>
      <c r="DY20" s="11"/>
      <c r="DZ20" s="11"/>
      <c r="EA20" s="11"/>
      <c r="EB20" s="14"/>
      <c r="EC20" s="15">
        <f t="shared" ref="EC20:EC23" si="0">SUM(DQ20:EB20)</f>
        <v>547</v>
      </c>
      <c r="ED20" s="11">
        <f>CP20</f>
        <v>0</v>
      </c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4"/>
      <c r="EP20" s="15">
        <f t="shared" ref="EP20:EP23" si="1">SUM(ED20:EO20)</f>
        <v>0</v>
      </c>
    </row>
    <row r="21" spans="1:146" s="63" customFormat="1" ht="35" customHeight="1">
      <c r="A21" s="4">
        <v>3</v>
      </c>
      <c r="B21" s="5" t="s">
        <v>60</v>
      </c>
      <c r="C21" s="6" t="s">
        <v>62</v>
      </c>
      <c r="D21" s="7">
        <v>5450701079140</v>
      </c>
      <c r="E21" s="7" t="s">
        <v>61</v>
      </c>
      <c r="F21" s="8" t="s">
        <v>34</v>
      </c>
      <c r="G21" s="9">
        <v>44747</v>
      </c>
      <c r="H21" s="10" t="s">
        <v>76</v>
      </c>
      <c r="I21" s="11">
        <v>400</v>
      </c>
      <c r="J21" s="11">
        <v>26</v>
      </c>
      <c r="K21" s="11">
        <v>10400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>
        <v>8</v>
      </c>
      <c r="W21" s="11">
        <v>400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2">
        <v>0</v>
      </c>
      <c r="AE21" s="11">
        <v>0</v>
      </c>
      <c r="AF21" s="11">
        <v>10800</v>
      </c>
      <c r="AG21" s="11">
        <v>1300</v>
      </c>
      <c r="AH21" s="11">
        <v>2030</v>
      </c>
      <c r="AI21" s="11">
        <v>1260</v>
      </c>
      <c r="AJ21" s="11">
        <v>1100</v>
      </c>
      <c r="AK21" s="11">
        <v>2030</v>
      </c>
      <c r="AL21" s="94">
        <v>0</v>
      </c>
      <c r="AM21" s="11">
        <v>300</v>
      </c>
      <c r="AN21" s="11">
        <v>0</v>
      </c>
      <c r="AO21" s="11">
        <v>0</v>
      </c>
      <c r="AP21" s="11">
        <v>0</v>
      </c>
      <c r="AQ21" s="11">
        <v>0</v>
      </c>
      <c r="AR21" s="11">
        <v>500</v>
      </c>
      <c r="AS21" s="11">
        <v>0</v>
      </c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>
        <v>24</v>
      </c>
      <c r="BV21" s="53">
        <v>2400</v>
      </c>
      <c r="BW21" s="53"/>
      <c r="BX21" s="53"/>
      <c r="BY21" s="11">
        <v>9</v>
      </c>
      <c r="BZ21" s="53">
        <v>1350</v>
      </c>
      <c r="CA21" s="11">
        <v>0</v>
      </c>
      <c r="CB21" s="53">
        <v>0</v>
      </c>
      <c r="CC21" s="53"/>
      <c r="CD21" s="53"/>
      <c r="CE21" s="11">
        <v>0</v>
      </c>
      <c r="CF21" s="53">
        <v>0</v>
      </c>
      <c r="CG21" s="43">
        <v>9375</v>
      </c>
      <c r="CH21" s="11">
        <v>9320</v>
      </c>
      <c r="CI21" s="94">
        <v>0</v>
      </c>
      <c r="CJ21" s="11">
        <v>0</v>
      </c>
      <c r="CK21" s="13"/>
      <c r="CL21" s="13">
        <v>29495</v>
      </c>
      <c r="CM21" s="11"/>
      <c r="CN21" s="11"/>
      <c r="CO21" s="14">
        <v>324</v>
      </c>
      <c r="CP21" s="14"/>
      <c r="CQ21" s="14"/>
      <c r="CR21" s="94"/>
      <c r="CS21" s="94"/>
      <c r="CT21" s="11">
        <v>0</v>
      </c>
      <c r="CU21" s="11"/>
      <c r="CV21" s="11">
        <v>0</v>
      </c>
      <c r="CW21" s="11"/>
      <c r="CX21" s="11"/>
      <c r="CY21" s="11">
        <v>0</v>
      </c>
      <c r="CZ21" s="95"/>
      <c r="DA21" s="13">
        <v>29171</v>
      </c>
      <c r="DB21" s="11">
        <v>31930.17</v>
      </c>
      <c r="DC21" s="11">
        <v>29495</v>
      </c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5">
        <v>61425.17</v>
      </c>
      <c r="DO21" s="16">
        <v>-29858.415000000001</v>
      </c>
      <c r="DP21" s="17">
        <v>0</v>
      </c>
      <c r="DQ21" s="11">
        <v>247</v>
      </c>
      <c r="DR21" s="11">
        <v>324</v>
      </c>
      <c r="DS21" s="11"/>
      <c r="DT21" s="11"/>
      <c r="DU21" s="11"/>
      <c r="DV21" s="11"/>
      <c r="DW21" s="11"/>
      <c r="DX21" s="11"/>
      <c r="DY21" s="11"/>
      <c r="DZ21" s="11"/>
      <c r="EA21" s="11"/>
      <c r="EB21" s="14"/>
      <c r="EC21" s="15">
        <f t="shared" si="0"/>
        <v>571</v>
      </c>
      <c r="ED21" s="11">
        <f>CP21</f>
        <v>0</v>
      </c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4"/>
      <c r="EP21" s="15">
        <f t="shared" si="1"/>
        <v>0</v>
      </c>
    </row>
    <row r="22" spans="1:146" s="18" customFormat="1" ht="35" customHeight="1">
      <c r="A22" s="4">
        <v>4</v>
      </c>
      <c r="B22" s="5" t="s">
        <v>72</v>
      </c>
      <c r="C22" s="6" t="s">
        <v>73</v>
      </c>
      <c r="D22" s="7">
        <v>1104300428228</v>
      </c>
      <c r="E22" s="7" t="s">
        <v>57</v>
      </c>
      <c r="F22" s="8" t="s">
        <v>34</v>
      </c>
      <c r="G22" s="9">
        <v>44781</v>
      </c>
      <c r="H22" s="10" t="s">
        <v>76</v>
      </c>
      <c r="I22" s="11">
        <v>400</v>
      </c>
      <c r="J22" s="11">
        <v>21</v>
      </c>
      <c r="K22" s="11">
        <v>8400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>
        <v>8</v>
      </c>
      <c r="W22" s="11">
        <v>400</v>
      </c>
      <c r="X22" s="11">
        <v>8</v>
      </c>
      <c r="Y22" s="11">
        <v>0</v>
      </c>
      <c r="Z22" s="11">
        <v>0</v>
      </c>
      <c r="AA22" s="11">
        <v>0</v>
      </c>
      <c r="AB22" s="11">
        <v>8</v>
      </c>
      <c r="AC22" s="11">
        <v>0</v>
      </c>
      <c r="AD22" s="12">
        <v>0</v>
      </c>
      <c r="AE22" s="11">
        <v>400</v>
      </c>
      <c r="AF22" s="11">
        <v>9200</v>
      </c>
      <c r="AG22" s="11">
        <v>1300</v>
      </c>
      <c r="AH22" s="11">
        <v>1260</v>
      </c>
      <c r="AI22" s="11">
        <v>800</v>
      </c>
      <c r="AJ22" s="11">
        <v>400</v>
      </c>
      <c r="AK22" s="11">
        <v>1260</v>
      </c>
      <c r="AL22" s="94">
        <v>0</v>
      </c>
      <c r="AM22" s="11">
        <v>2360</v>
      </c>
      <c r="AN22" s="11">
        <v>5175</v>
      </c>
      <c r="AO22" s="11">
        <v>0</v>
      </c>
      <c r="AP22" s="11">
        <v>0</v>
      </c>
      <c r="AQ22" s="11">
        <v>0</v>
      </c>
      <c r="AR22" s="11">
        <v>500</v>
      </c>
      <c r="AS22" s="11">
        <v>0</v>
      </c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>
        <v>0</v>
      </c>
      <c r="BV22" s="53">
        <v>0</v>
      </c>
      <c r="BW22" s="53"/>
      <c r="BX22" s="53"/>
      <c r="BY22" s="11">
        <v>0</v>
      </c>
      <c r="BZ22" s="53">
        <v>0</v>
      </c>
      <c r="CA22" s="11">
        <v>0</v>
      </c>
      <c r="CB22" s="53">
        <v>0</v>
      </c>
      <c r="CC22" s="53"/>
      <c r="CD22" s="53"/>
      <c r="CE22" s="11">
        <v>0</v>
      </c>
      <c r="CF22" s="53">
        <v>0</v>
      </c>
      <c r="CG22" s="43">
        <v>4500</v>
      </c>
      <c r="CH22" s="11">
        <v>13055</v>
      </c>
      <c r="CI22" s="94">
        <v>0</v>
      </c>
      <c r="CJ22" s="11">
        <v>0</v>
      </c>
      <c r="CK22" s="13"/>
      <c r="CL22" s="13">
        <v>26755</v>
      </c>
      <c r="CM22" s="11"/>
      <c r="CN22" s="11"/>
      <c r="CO22" s="14">
        <v>276</v>
      </c>
      <c r="CP22" s="14"/>
      <c r="CQ22" s="14"/>
      <c r="CR22" s="94"/>
      <c r="CS22" s="94"/>
      <c r="CT22" s="11">
        <v>0</v>
      </c>
      <c r="CU22" s="11"/>
      <c r="CV22" s="11">
        <v>0</v>
      </c>
      <c r="CW22" s="11"/>
      <c r="CX22" s="11"/>
      <c r="CY22" s="11">
        <v>0</v>
      </c>
      <c r="CZ22" s="95"/>
      <c r="DA22" s="13">
        <v>26479</v>
      </c>
      <c r="DB22" s="11">
        <v>30443.59</v>
      </c>
      <c r="DC22" s="11">
        <v>26755</v>
      </c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5">
        <v>57198.59</v>
      </c>
      <c r="DO22" s="16">
        <v>-31887.705000000002</v>
      </c>
      <c r="DP22" s="17">
        <v>0</v>
      </c>
      <c r="DQ22" s="11">
        <v>211</v>
      </c>
      <c r="DR22" s="11">
        <v>276</v>
      </c>
      <c r="DS22" s="11"/>
      <c r="DT22" s="11"/>
      <c r="DU22" s="11"/>
      <c r="DV22" s="11"/>
      <c r="DW22" s="11"/>
      <c r="DX22" s="11"/>
      <c r="DY22" s="11"/>
      <c r="DZ22" s="11"/>
      <c r="EA22" s="11"/>
      <c r="EB22" s="14"/>
      <c r="EC22" s="15">
        <f t="shared" si="0"/>
        <v>487</v>
      </c>
      <c r="ED22" s="11">
        <f>CP22</f>
        <v>0</v>
      </c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4"/>
      <c r="EP22" s="15">
        <f t="shared" si="1"/>
        <v>0</v>
      </c>
    </row>
    <row r="23" spans="1:146" s="18" customFormat="1" ht="35" customHeight="1">
      <c r="A23" s="4">
        <v>5</v>
      </c>
      <c r="B23" s="59" t="s">
        <v>209</v>
      </c>
      <c r="C23" s="60" t="s">
        <v>68</v>
      </c>
      <c r="D23" s="7">
        <v>1449900486859</v>
      </c>
      <c r="E23" s="7" t="s">
        <v>61</v>
      </c>
      <c r="F23" s="8" t="s">
        <v>34</v>
      </c>
      <c r="G23" s="9">
        <v>44943</v>
      </c>
      <c r="H23" s="10" t="s">
        <v>76</v>
      </c>
      <c r="I23" s="11">
        <v>400</v>
      </c>
      <c r="J23" s="11">
        <v>25</v>
      </c>
      <c r="K23" s="11">
        <v>10000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>
        <v>8</v>
      </c>
      <c r="W23" s="11">
        <v>400</v>
      </c>
      <c r="X23" s="11">
        <v>0</v>
      </c>
      <c r="Y23" s="11">
        <v>0</v>
      </c>
      <c r="Z23" s="11">
        <v>0</v>
      </c>
      <c r="AA23" s="11">
        <v>0</v>
      </c>
      <c r="AB23" s="11">
        <v>8</v>
      </c>
      <c r="AC23" s="11">
        <v>0</v>
      </c>
      <c r="AD23" s="12">
        <v>0</v>
      </c>
      <c r="AE23" s="11">
        <v>400</v>
      </c>
      <c r="AF23" s="11">
        <v>10800</v>
      </c>
      <c r="AG23" s="11">
        <v>1300</v>
      </c>
      <c r="AH23" s="11">
        <v>1890</v>
      </c>
      <c r="AI23" s="11">
        <v>1215</v>
      </c>
      <c r="AJ23" s="11">
        <v>1200</v>
      </c>
      <c r="AK23" s="11">
        <v>1890</v>
      </c>
      <c r="AL23" s="94">
        <v>0</v>
      </c>
      <c r="AM23" s="11">
        <v>940.92</v>
      </c>
      <c r="AN23" s="11">
        <v>0</v>
      </c>
      <c r="AO23" s="11">
        <v>0</v>
      </c>
      <c r="AP23" s="11">
        <v>0</v>
      </c>
      <c r="AQ23" s="11">
        <v>0</v>
      </c>
      <c r="AR23" s="11">
        <v>500</v>
      </c>
      <c r="AS23" s="11">
        <v>0</v>
      </c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>
        <v>16</v>
      </c>
      <c r="BV23" s="53">
        <v>1600</v>
      </c>
      <c r="BW23" s="53"/>
      <c r="BX23" s="53"/>
      <c r="BY23" s="11">
        <v>6</v>
      </c>
      <c r="BZ23" s="53">
        <v>900</v>
      </c>
      <c r="CA23" s="11">
        <v>0</v>
      </c>
      <c r="CB23" s="53">
        <v>0</v>
      </c>
      <c r="CC23" s="53"/>
      <c r="CD23" s="53"/>
      <c r="CE23" s="11">
        <v>0</v>
      </c>
      <c r="CF23" s="53">
        <v>0</v>
      </c>
      <c r="CG23" s="43">
        <v>8125</v>
      </c>
      <c r="CH23" s="11">
        <v>9735.92</v>
      </c>
      <c r="CI23" s="94">
        <v>0</v>
      </c>
      <c r="CJ23" s="11">
        <v>0</v>
      </c>
      <c r="CK23" s="13"/>
      <c r="CL23" s="13">
        <v>28660.92</v>
      </c>
      <c r="CM23" s="11"/>
      <c r="CN23" s="11"/>
      <c r="CO23" s="14">
        <v>324</v>
      </c>
      <c r="CP23" s="14"/>
      <c r="CQ23" s="14"/>
      <c r="CR23" s="94"/>
      <c r="CS23" s="94"/>
      <c r="CT23" s="11">
        <v>0</v>
      </c>
      <c r="CU23" s="11"/>
      <c r="CV23" s="11">
        <v>0</v>
      </c>
      <c r="CW23" s="11"/>
      <c r="CX23" s="11"/>
      <c r="CY23" s="11">
        <v>0</v>
      </c>
      <c r="CZ23" s="95"/>
      <c r="DA23" s="13">
        <v>28336.92</v>
      </c>
      <c r="DB23" s="61">
        <v>28933.72</v>
      </c>
      <c r="DC23" s="61">
        <v>28660.92</v>
      </c>
      <c r="DD23" s="61"/>
      <c r="DE23" s="61"/>
      <c r="DF23" s="61"/>
      <c r="DG23" s="61"/>
      <c r="DH23" s="61"/>
      <c r="DI23" s="61"/>
      <c r="DJ23" s="61"/>
      <c r="DK23" s="61"/>
      <c r="DL23" s="61"/>
      <c r="DM23" s="62"/>
      <c r="DN23" s="15">
        <v>57594.64</v>
      </c>
      <c r="DO23" s="16">
        <v>-31750.68</v>
      </c>
      <c r="DP23" s="17">
        <v>0</v>
      </c>
      <c r="DQ23" s="61">
        <v>224</v>
      </c>
      <c r="DR23" s="61">
        <v>324</v>
      </c>
      <c r="DS23" s="61"/>
      <c r="DT23" s="61"/>
      <c r="DU23" s="61"/>
      <c r="DV23" s="61"/>
      <c r="DW23" s="61"/>
      <c r="DX23" s="61"/>
      <c r="DY23" s="61"/>
      <c r="DZ23" s="61"/>
      <c r="EA23" s="61"/>
      <c r="EB23" s="14"/>
      <c r="EC23" s="15">
        <f t="shared" si="0"/>
        <v>548</v>
      </c>
      <c r="ED23" s="11">
        <f>CP23</f>
        <v>0</v>
      </c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14"/>
      <c r="EP23" s="15">
        <f t="shared" si="1"/>
        <v>0</v>
      </c>
    </row>
    <row r="24" spans="1:146" s="18" customFormat="1" ht="35" customHeight="1">
      <c r="A24" s="4">
        <v>6</v>
      </c>
      <c r="B24" s="59" t="s">
        <v>210</v>
      </c>
      <c r="C24" s="219" t="s">
        <v>211</v>
      </c>
      <c r="D24" s="7">
        <v>1449900486860</v>
      </c>
      <c r="E24" s="7" t="s">
        <v>204</v>
      </c>
      <c r="F24" s="8" t="s">
        <v>34</v>
      </c>
      <c r="G24" s="9">
        <v>44944</v>
      </c>
      <c r="H24" s="10" t="s">
        <v>76</v>
      </c>
      <c r="I24" s="11">
        <v>400</v>
      </c>
      <c r="J24" s="11">
        <v>25</v>
      </c>
      <c r="K24" s="11">
        <v>10000</v>
      </c>
      <c r="L24" s="11">
        <v>20</v>
      </c>
      <c r="M24" s="11"/>
      <c r="N24" s="11">
        <v>3</v>
      </c>
      <c r="O24" s="11"/>
      <c r="P24" s="11">
        <v>2</v>
      </c>
      <c r="Q24" s="11">
        <v>200</v>
      </c>
      <c r="R24" s="11">
        <v>3</v>
      </c>
      <c r="S24" s="11">
        <v>150</v>
      </c>
      <c r="T24" s="11">
        <v>3</v>
      </c>
      <c r="U24" s="11">
        <v>300</v>
      </c>
      <c r="V24" s="11">
        <v>8</v>
      </c>
      <c r="W24" s="11">
        <v>400</v>
      </c>
      <c r="X24" s="11">
        <v>1</v>
      </c>
      <c r="Y24" s="11">
        <v>2</v>
      </c>
      <c r="Z24" s="11">
        <v>3</v>
      </c>
      <c r="AA24" s="11">
        <v>4</v>
      </c>
      <c r="AB24" s="11">
        <v>5</v>
      </c>
      <c r="AC24" s="11">
        <v>6</v>
      </c>
      <c r="AD24" s="12">
        <v>7</v>
      </c>
      <c r="AE24" s="11">
        <v>400</v>
      </c>
      <c r="AF24" s="11">
        <v>10800</v>
      </c>
      <c r="AG24" s="11">
        <v>1300</v>
      </c>
      <c r="AH24" s="11">
        <v>1890</v>
      </c>
      <c r="AI24" s="11">
        <v>1215</v>
      </c>
      <c r="AJ24" s="11">
        <v>1200</v>
      </c>
      <c r="AK24" s="11">
        <v>1890</v>
      </c>
      <c r="AL24" s="94">
        <v>1000</v>
      </c>
      <c r="AM24" s="11">
        <v>940.92</v>
      </c>
      <c r="AN24" s="11">
        <v>1000</v>
      </c>
      <c r="AO24" s="11">
        <v>1000</v>
      </c>
      <c r="AP24" s="11">
        <v>1000</v>
      </c>
      <c r="AQ24" s="11">
        <v>2000</v>
      </c>
      <c r="AR24" s="11">
        <v>500</v>
      </c>
      <c r="AS24" s="11">
        <v>1</v>
      </c>
      <c r="AT24" s="11">
        <v>2</v>
      </c>
      <c r="AU24" s="11">
        <v>3</v>
      </c>
      <c r="AV24" s="11">
        <v>4</v>
      </c>
      <c r="AW24" s="11">
        <v>5</v>
      </c>
      <c r="AX24" s="11">
        <v>6</v>
      </c>
      <c r="AY24" s="11">
        <v>7</v>
      </c>
      <c r="AZ24" s="11">
        <v>8</v>
      </c>
      <c r="BA24" s="11">
        <v>9</v>
      </c>
      <c r="BB24" s="11">
        <v>10</v>
      </c>
      <c r="BC24" s="11">
        <v>11</v>
      </c>
      <c r="BD24" s="11">
        <v>12</v>
      </c>
      <c r="BE24" s="11">
        <v>13</v>
      </c>
      <c r="BF24" s="11">
        <v>14</v>
      </c>
      <c r="BG24" s="11">
        <v>15</v>
      </c>
      <c r="BH24" s="11">
        <v>16</v>
      </c>
      <c r="BI24" s="11">
        <v>17</v>
      </c>
      <c r="BJ24" s="11">
        <v>18</v>
      </c>
      <c r="BK24" s="11">
        <v>19</v>
      </c>
      <c r="BL24" s="11">
        <v>20</v>
      </c>
      <c r="BM24" s="11">
        <v>1</v>
      </c>
      <c r="BN24" s="11">
        <v>100</v>
      </c>
      <c r="BO24" s="11">
        <v>1</v>
      </c>
      <c r="BP24" s="11">
        <v>100</v>
      </c>
      <c r="BQ24" s="11">
        <v>1</v>
      </c>
      <c r="BR24" s="11">
        <v>100</v>
      </c>
      <c r="BS24" s="11">
        <v>1</v>
      </c>
      <c r="BT24" s="11">
        <v>100</v>
      </c>
      <c r="BU24" s="11">
        <v>16</v>
      </c>
      <c r="BV24" s="53">
        <v>1600</v>
      </c>
      <c r="BW24" s="11">
        <v>1</v>
      </c>
      <c r="BX24" s="11">
        <v>100</v>
      </c>
      <c r="BY24" s="11">
        <v>6</v>
      </c>
      <c r="BZ24" s="53">
        <v>900</v>
      </c>
      <c r="CA24" s="11">
        <v>1</v>
      </c>
      <c r="CB24" s="11">
        <v>100</v>
      </c>
      <c r="CC24" s="11">
        <v>1</v>
      </c>
      <c r="CD24" s="11">
        <v>100</v>
      </c>
      <c r="CE24" s="11">
        <v>1</v>
      </c>
      <c r="CF24" s="11">
        <v>100</v>
      </c>
      <c r="CG24" s="43">
        <v>8125</v>
      </c>
      <c r="CH24" s="11">
        <v>9735.92</v>
      </c>
      <c r="CI24" s="94">
        <v>0</v>
      </c>
      <c r="CJ24" s="11">
        <v>0</v>
      </c>
      <c r="CK24" s="13"/>
      <c r="CL24" s="13">
        <v>28660.92</v>
      </c>
      <c r="CM24" s="11">
        <v>1</v>
      </c>
      <c r="CN24" s="11">
        <v>2</v>
      </c>
      <c r="CO24" s="14">
        <v>324</v>
      </c>
      <c r="CP24" s="14">
        <v>3</v>
      </c>
      <c r="CQ24" s="14">
        <v>4</v>
      </c>
      <c r="CR24" s="94">
        <v>5</v>
      </c>
      <c r="CS24" s="94">
        <v>6</v>
      </c>
      <c r="CT24" s="11">
        <v>7</v>
      </c>
      <c r="CU24" s="11">
        <v>8</v>
      </c>
      <c r="CV24" s="11">
        <v>9</v>
      </c>
      <c r="CW24" s="11">
        <v>10</v>
      </c>
      <c r="CX24" s="11">
        <v>11</v>
      </c>
      <c r="CY24" s="11">
        <v>12</v>
      </c>
      <c r="CZ24" s="95">
        <f>SUM(CM24:CY24)</f>
        <v>402</v>
      </c>
      <c r="DA24" s="13">
        <f>CL24-CZ24</f>
        <v>28258.92</v>
      </c>
      <c r="DB24" s="61">
        <v>28933.72</v>
      </c>
      <c r="DC24" s="61">
        <v>28660.92</v>
      </c>
      <c r="DD24" s="61"/>
      <c r="DE24" s="61"/>
      <c r="DF24" s="61"/>
      <c r="DG24" s="61"/>
      <c r="DH24" s="61"/>
      <c r="DI24" s="61"/>
      <c r="DJ24" s="61"/>
      <c r="DK24" s="61"/>
      <c r="DL24" s="61"/>
      <c r="DM24" s="62"/>
      <c r="DN24" s="15">
        <v>57594.64</v>
      </c>
      <c r="DO24" s="16">
        <v>-31750.68</v>
      </c>
      <c r="DP24" s="17">
        <v>0</v>
      </c>
      <c r="DQ24" s="61">
        <v>224</v>
      </c>
      <c r="DR24" s="61">
        <v>324</v>
      </c>
      <c r="DS24" s="61"/>
      <c r="DT24" s="61"/>
      <c r="DU24" s="61"/>
      <c r="DV24" s="61"/>
      <c r="DW24" s="61"/>
      <c r="DX24" s="61"/>
      <c r="DY24" s="61"/>
      <c r="DZ24" s="61"/>
      <c r="EA24" s="61"/>
      <c r="EB24" s="14"/>
      <c r="EC24" s="15">
        <f t="shared" ref="EC24:EC25" si="2">SUM(DQ24:EB24)</f>
        <v>548</v>
      </c>
      <c r="ED24" s="11">
        <f>CP24</f>
        <v>3</v>
      </c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14"/>
      <c r="EP24" s="15">
        <f t="shared" ref="EP24:EP25" si="3">SUM(ED24:EO24)</f>
        <v>3</v>
      </c>
    </row>
    <row r="25" spans="1:146" s="18" customFormat="1" ht="35" customHeight="1">
      <c r="A25" s="4">
        <v>7</v>
      </c>
      <c r="B25" s="59" t="s">
        <v>205</v>
      </c>
      <c r="C25" s="219" t="s">
        <v>212</v>
      </c>
      <c r="D25" s="7">
        <v>1449900486861</v>
      </c>
      <c r="E25" s="7" t="s">
        <v>206</v>
      </c>
      <c r="F25" s="8" t="s">
        <v>34</v>
      </c>
      <c r="G25" s="9">
        <v>44945</v>
      </c>
      <c r="H25" s="10" t="s">
        <v>76</v>
      </c>
      <c r="I25" s="11">
        <v>400</v>
      </c>
      <c r="J25" s="11">
        <v>25</v>
      </c>
      <c r="K25" s="11">
        <v>10000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>
        <v>8</v>
      </c>
      <c r="W25" s="11">
        <v>400</v>
      </c>
      <c r="X25" s="11">
        <v>0</v>
      </c>
      <c r="Y25" s="11">
        <v>0</v>
      </c>
      <c r="Z25" s="11">
        <v>0</v>
      </c>
      <c r="AA25" s="11">
        <v>0</v>
      </c>
      <c r="AB25" s="11">
        <v>8</v>
      </c>
      <c r="AC25" s="11">
        <v>0</v>
      </c>
      <c r="AD25" s="12">
        <v>0</v>
      </c>
      <c r="AE25" s="11">
        <v>400</v>
      </c>
      <c r="AF25" s="11">
        <v>10800</v>
      </c>
      <c r="AG25" s="11">
        <v>1300</v>
      </c>
      <c r="AH25" s="11">
        <v>1890</v>
      </c>
      <c r="AI25" s="11">
        <v>1215</v>
      </c>
      <c r="AJ25" s="11">
        <v>1200</v>
      </c>
      <c r="AK25" s="11">
        <v>1890</v>
      </c>
      <c r="AL25" s="94">
        <v>0</v>
      </c>
      <c r="AM25" s="11">
        <v>940.92</v>
      </c>
      <c r="AN25" s="11">
        <v>0</v>
      </c>
      <c r="AO25" s="11">
        <v>0</v>
      </c>
      <c r="AP25" s="11">
        <v>0</v>
      </c>
      <c r="AQ25" s="11">
        <v>0</v>
      </c>
      <c r="AR25" s="11">
        <v>500</v>
      </c>
      <c r="AS25" s="11">
        <v>0</v>
      </c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>
        <v>16</v>
      </c>
      <c r="BV25" s="53">
        <v>1600</v>
      </c>
      <c r="BW25" s="53"/>
      <c r="BX25" s="53"/>
      <c r="BY25" s="11">
        <v>6</v>
      </c>
      <c r="BZ25" s="53">
        <v>900</v>
      </c>
      <c r="CA25" s="11">
        <v>0</v>
      </c>
      <c r="CB25" s="53">
        <v>0</v>
      </c>
      <c r="CC25" s="53"/>
      <c r="CD25" s="53"/>
      <c r="CE25" s="11">
        <v>0</v>
      </c>
      <c r="CF25" s="53">
        <v>0</v>
      </c>
      <c r="CG25" s="43">
        <v>8125</v>
      </c>
      <c r="CH25" s="11">
        <v>9735.92</v>
      </c>
      <c r="CI25" s="94">
        <v>0</v>
      </c>
      <c r="CJ25" s="11">
        <v>0</v>
      </c>
      <c r="CK25" s="13"/>
      <c r="CL25" s="13">
        <v>28660.92</v>
      </c>
      <c r="CM25" s="11"/>
      <c r="CN25" s="11"/>
      <c r="CO25" s="14">
        <v>324</v>
      </c>
      <c r="CP25" s="14"/>
      <c r="CQ25" s="14"/>
      <c r="CR25" s="94"/>
      <c r="CS25" s="94"/>
      <c r="CT25" s="11">
        <v>0</v>
      </c>
      <c r="CU25" s="11"/>
      <c r="CV25" s="11">
        <v>0</v>
      </c>
      <c r="CW25" s="11"/>
      <c r="CX25" s="11"/>
      <c r="CY25" s="11">
        <v>0</v>
      </c>
      <c r="CZ25" s="95">
        <f t="shared" ref="CZ25:CZ88" si="4">SUM(CM25:CY25)</f>
        <v>324</v>
      </c>
      <c r="DA25" s="13">
        <f t="shared" ref="DA25:DA88" si="5">CL25-CZ25</f>
        <v>28336.92</v>
      </c>
      <c r="DB25" s="61">
        <v>28933.72</v>
      </c>
      <c r="DC25" s="61">
        <v>28660.92</v>
      </c>
      <c r="DD25" s="61"/>
      <c r="DE25" s="61"/>
      <c r="DF25" s="61"/>
      <c r="DG25" s="61"/>
      <c r="DH25" s="61"/>
      <c r="DI25" s="61"/>
      <c r="DJ25" s="61"/>
      <c r="DK25" s="61"/>
      <c r="DL25" s="61"/>
      <c r="DM25" s="62"/>
      <c r="DN25" s="15">
        <v>57594.64</v>
      </c>
      <c r="DO25" s="16">
        <v>-31750.68</v>
      </c>
      <c r="DP25" s="17">
        <v>0</v>
      </c>
      <c r="DQ25" s="61">
        <v>224</v>
      </c>
      <c r="DR25" s="61">
        <v>324</v>
      </c>
      <c r="DS25" s="61"/>
      <c r="DT25" s="61"/>
      <c r="DU25" s="61"/>
      <c r="DV25" s="61"/>
      <c r="DW25" s="61"/>
      <c r="DX25" s="61"/>
      <c r="DY25" s="61"/>
      <c r="DZ25" s="61"/>
      <c r="EA25" s="61"/>
      <c r="EB25" s="14"/>
      <c r="EC25" s="15">
        <f t="shared" si="2"/>
        <v>548</v>
      </c>
      <c r="ED25" s="11">
        <f>CP25</f>
        <v>0</v>
      </c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14"/>
      <c r="EP25" s="15">
        <f t="shared" si="3"/>
        <v>0</v>
      </c>
    </row>
    <row r="26" spans="1:146" s="18" customFormat="1" ht="35" customHeight="1">
      <c r="A26" s="4">
        <v>8</v>
      </c>
      <c r="B26" s="59" t="s">
        <v>207</v>
      </c>
      <c r="C26" s="219" t="s">
        <v>213</v>
      </c>
      <c r="D26" s="7">
        <v>1449900486862</v>
      </c>
      <c r="E26" s="7" t="s">
        <v>208</v>
      </c>
      <c r="F26" s="8" t="s">
        <v>34</v>
      </c>
      <c r="G26" s="9">
        <v>44946</v>
      </c>
      <c r="H26" s="10" t="s">
        <v>76</v>
      </c>
      <c r="I26" s="11">
        <v>400</v>
      </c>
      <c r="J26" s="11">
        <v>25</v>
      </c>
      <c r="K26" s="11">
        <v>10000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>
        <v>8</v>
      </c>
      <c r="W26" s="11">
        <v>400</v>
      </c>
      <c r="X26" s="11">
        <v>0</v>
      </c>
      <c r="Y26" s="11">
        <v>0</v>
      </c>
      <c r="Z26" s="11">
        <v>0</v>
      </c>
      <c r="AA26" s="11">
        <v>0</v>
      </c>
      <c r="AB26" s="11">
        <v>8</v>
      </c>
      <c r="AC26" s="11">
        <v>0</v>
      </c>
      <c r="AD26" s="12">
        <v>0</v>
      </c>
      <c r="AE26" s="11">
        <v>400</v>
      </c>
      <c r="AF26" s="11">
        <v>10800</v>
      </c>
      <c r="AG26" s="11">
        <v>1300</v>
      </c>
      <c r="AH26" s="11">
        <v>1890</v>
      </c>
      <c r="AI26" s="11">
        <v>1215</v>
      </c>
      <c r="AJ26" s="11">
        <v>1200</v>
      </c>
      <c r="AK26" s="11">
        <v>1890</v>
      </c>
      <c r="AL26" s="94">
        <v>0</v>
      </c>
      <c r="AM26" s="11">
        <v>940.92</v>
      </c>
      <c r="AN26" s="11">
        <v>0</v>
      </c>
      <c r="AO26" s="11">
        <v>0</v>
      </c>
      <c r="AP26" s="11">
        <v>0</v>
      </c>
      <c r="AQ26" s="11">
        <v>0</v>
      </c>
      <c r="AR26" s="11">
        <v>500</v>
      </c>
      <c r="AS26" s="11">
        <v>0</v>
      </c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>
        <v>16</v>
      </c>
      <c r="BV26" s="53">
        <v>1600</v>
      </c>
      <c r="BW26" s="53"/>
      <c r="BX26" s="53"/>
      <c r="BY26" s="11">
        <v>6</v>
      </c>
      <c r="BZ26" s="53">
        <v>900</v>
      </c>
      <c r="CA26" s="11">
        <v>0</v>
      </c>
      <c r="CB26" s="53">
        <v>0</v>
      </c>
      <c r="CC26" s="53"/>
      <c r="CD26" s="53"/>
      <c r="CE26" s="11">
        <v>0</v>
      </c>
      <c r="CF26" s="53">
        <v>0</v>
      </c>
      <c r="CG26" s="43">
        <v>8125</v>
      </c>
      <c r="CH26" s="11">
        <v>9735.92</v>
      </c>
      <c r="CI26" s="94">
        <v>0</v>
      </c>
      <c r="CJ26" s="11">
        <v>0</v>
      </c>
      <c r="CK26" s="13"/>
      <c r="CL26" s="13">
        <v>28660.92</v>
      </c>
      <c r="CM26" s="11"/>
      <c r="CN26" s="11"/>
      <c r="CO26" s="14">
        <v>324</v>
      </c>
      <c r="CP26" s="14"/>
      <c r="CQ26" s="14"/>
      <c r="CR26" s="94"/>
      <c r="CS26" s="94"/>
      <c r="CT26" s="11">
        <v>0</v>
      </c>
      <c r="CU26" s="11"/>
      <c r="CV26" s="11">
        <v>0</v>
      </c>
      <c r="CW26" s="11"/>
      <c r="CX26" s="11"/>
      <c r="CY26" s="11">
        <v>0</v>
      </c>
      <c r="CZ26" s="95">
        <f t="shared" si="4"/>
        <v>324</v>
      </c>
      <c r="DA26" s="13">
        <f t="shared" si="5"/>
        <v>28336.92</v>
      </c>
      <c r="DB26" s="61">
        <v>28933.72</v>
      </c>
      <c r="DC26" s="61">
        <v>28660.92</v>
      </c>
      <c r="DD26" s="61"/>
      <c r="DE26" s="61"/>
      <c r="DF26" s="61"/>
      <c r="DG26" s="61"/>
      <c r="DH26" s="61"/>
      <c r="DI26" s="61"/>
      <c r="DJ26" s="61"/>
      <c r="DK26" s="61"/>
      <c r="DL26" s="61"/>
      <c r="DM26" s="62"/>
      <c r="DN26" s="15">
        <v>57594.64</v>
      </c>
      <c r="DO26" s="16">
        <v>-31750.68</v>
      </c>
      <c r="DP26" s="17">
        <v>0</v>
      </c>
      <c r="DQ26" s="61">
        <v>224</v>
      </c>
      <c r="DR26" s="61">
        <v>324</v>
      </c>
      <c r="DS26" s="61"/>
      <c r="DT26" s="61"/>
      <c r="DU26" s="61"/>
      <c r="DV26" s="61"/>
      <c r="DW26" s="61"/>
      <c r="DX26" s="61"/>
      <c r="DY26" s="61"/>
      <c r="DZ26" s="61"/>
      <c r="EA26" s="61"/>
      <c r="EB26" s="14"/>
      <c r="EC26" s="15">
        <f t="shared" ref="EC26:EC89" si="6">SUM(DQ26:EB26)</f>
        <v>548</v>
      </c>
      <c r="ED26" s="11">
        <f>CP26</f>
        <v>0</v>
      </c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14"/>
      <c r="EP26" s="15">
        <f t="shared" ref="EP26:EP89" si="7">SUM(ED26:EO26)</f>
        <v>0</v>
      </c>
    </row>
    <row r="27" spans="1:146" s="18" customFormat="1" ht="35" customHeight="1">
      <c r="A27" s="4">
        <v>9</v>
      </c>
      <c r="B27" s="59" t="s">
        <v>398</v>
      </c>
      <c r="C27" s="219" t="s">
        <v>214</v>
      </c>
      <c r="D27" s="7">
        <v>1449900486863</v>
      </c>
      <c r="E27" s="7" t="s">
        <v>215</v>
      </c>
      <c r="F27" s="8" t="s">
        <v>34</v>
      </c>
      <c r="G27" s="9">
        <v>44947</v>
      </c>
      <c r="H27" s="10" t="s">
        <v>76</v>
      </c>
      <c r="I27" s="11">
        <v>400</v>
      </c>
      <c r="J27" s="11">
        <v>25</v>
      </c>
      <c r="K27" s="11">
        <v>10000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>
        <v>8</v>
      </c>
      <c r="W27" s="11">
        <v>400</v>
      </c>
      <c r="X27" s="11">
        <v>0</v>
      </c>
      <c r="Y27" s="11">
        <v>0</v>
      </c>
      <c r="Z27" s="11">
        <v>0</v>
      </c>
      <c r="AA27" s="11">
        <v>0</v>
      </c>
      <c r="AB27" s="11">
        <v>8</v>
      </c>
      <c r="AC27" s="11">
        <v>0</v>
      </c>
      <c r="AD27" s="12">
        <v>0</v>
      </c>
      <c r="AE27" s="11">
        <v>400</v>
      </c>
      <c r="AF27" s="11">
        <v>10800</v>
      </c>
      <c r="AG27" s="11">
        <v>1300</v>
      </c>
      <c r="AH27" s="11">
        <v>1890</v>
      </c>
      <c r="AI27" s="11">
        <v>1215</v>
      </c>
      <c r="AJ27" s="11">
        <v>1200</v>
      </c>
      <c r="AK27" s="11">
        <v>1890</v>
      </c>
      <c r="AL27" s="94">
        <v>0</v>
      </c>
      <c r="AM27" s="11">
        <v>940.92</v>
      </c>
      <c r="AN27" s="11">
        <v>0</v>
      </c>
      <c r="AO27" s="11">
        <v>0</v>
      </c>
      <c r="AP27" s="11">
        <v>0</v>
      </c>
      <c r="AQ27" s="11">
        <v>0</v>
      </c>
      <c r="AR27" s="11">
        <v>500</v>
      </c>
      <c r="AS27" s="11">
        <v>0</v>
      </c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>
        <v>16</v>
      </c>
      <c r="BV27" s="53">
        <v>1600</v>
      </c>
      <c r="BW27" s="53"/>
      <c r="BX27" s="53"/>
      <c r="BY27" s="11">
        <v>6</v>
      </c>
      <c r="BZ27" s="53">
        <v>900</v>
      </c>
      <c r="CA27" s="11">
        <v>0</v>
      </c>
      <c r="CB27" s="53">
        <v>0</v>
      </c>
      <c r="CC27" s="53"/>
      <c r="CD27" s="53"/>
      <c r="CE27" s="11">
        <v>0</v>
      </c>
      <c r="CF27" s="53">
        <v>0</v>
      </c>
      <c r="CG27" s="43">
        <v>8125</v>
      </c>
      <c r="CH27" s="11">
        <v>9735.92</v>
      </c>
      <c r="CI27" s="94">
        <v>0</v>
      </c>
      <c r="CJ27" s="11">
        <v>0</v>
      </c>
      <c r="CK27" s="13"/>
      <c r="CL27" s="13">
        <v>28660.92</v>
      </c>
      <c r="CM27" s="11"/>
      <c r="CN27" s="11"/>
      <c r="CO27" s="14">
        <v>324</v>
      </c>
      <c r="CP27" s="14"/>
      <c r="CQ27" s="14"/>
      <c r="CR27" s="94"/>
      <c r="CS27" s="94"/>
      <c r="CT27" s="11">
        <v>0</v>
      </c>
      <c r="CU27" s="11"/>
      <c r="CV27" s="11">
        <v>0</v>
      </c>
      <c r="CW27" s="11"/>
      <c r="CX27" s="11"/>
      <c r="CY27" s="11">
        <v>0</v>
      </c>
      <c r="CZ27" s="95">
        <f t="shared" si="4"/>
        <v>324</v>
      </c>
      <c r="DA27" s="13">
        <f t="shared" si="5"/>
        <v>28336.92</v>
      </c>
      <c r="DB27" s="61">
        <v>28933.72</v>
      </c>
      <c r="DC27" s="61">
        <v>28660.92</v>
      </c>
      <c r="DD27" s="61"/>
      <c r="DE27" s="61"/>
      <c r="DF27" s="61"/>
      <c r="DG27" s="61"/>
      <c r="DH27" s="61"/>
      <c r="DI27" s="61"/>
      <c r="DJ27" s="61"/>
      <c r="DK27" s="61"/>
      <c r="DL27" s="61"/>
      <c r="DM27" s="62"/>
      <c r="DN27" s="15">
        <v>57594.64</v>
      </c>
      <c r="DO27" s="16">
        <v>-31750.68</v>
      </c>
      <c r="DP27" s="17">
        <v>0</v>
      </c>
      <c r="DQ27" s="61">
        <v>224</v>
      </c>
      <c r="DR27" s="61">
        <v>324</v>
      </c>
      <c r="DS27" s="61"/>
      <c r="DT27" s="61"/>
      <c r="DU27" s="61"/>
      <c r="DV27" s="61"/>
      <c r="DW27" s="61"/>
      <c r="DX27" s="61"/>
      <c r="DY27" s="61"/>
      <c r="DZ27" s="61"/>
      <c r="EA27" s="61"/>
      <c r="EB27" s="14"/>
      <c r="EC27" s="15">
        <f t="shared" si="6"/>
        <v>548</v>
      </c>
      <c r="ED27" s="11">
        <f>CP27</f>
        <v>0</v>
      </c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14"/>
      <c r="EP27" s="15">
        <f t="shared" si="7"/>
        <v>0</v>
      </c>
    </row>
    <row r="28" spans="1:146" s="18" customFormat="1" ht="35" customHeight="1">
      <c r="A28" s="4">
        <v>10</v>
      </c>
      <c r="B28" s="59" t="s">
        <v>399</v>
      </c>
      <c r="C28" s="219" t="s">
        <v>216</v>
      </c>
      <c r="D28" s="7">
        <v>1449900486864</v>
      </c>
      <c r="E28" s="7" t="s">
        <v>217</v>
      </c>
      <c r="F28" s="8" t="s">
        <v>34</v>
      </c>
      <c r="G28" s="9">
        <v>44948</v>
      </c>
      <c r="H28" s="10" t="s">
        <v>76</v>
      </c>
      <c r="I28" s="11">
        <v>400</v>
      </c>
      <c r="J28" s="11">
        <v>25</v>
      </c>
      <c r="K28" s="11">
        <v>10000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>
        <v>8</v>
      </c>
      <c r="W28" s="11">
        <v>400</v>
      </c>
      <c r="X28" s="11">
        <v>0</v>
      </c>
      <c r="Y28" s="11">
        <v>0</v>
      </c>
      <c r="Z28" s="11">
        <v>0</v>
      </c>
      <c r="AA28" s="11">
        <v>0</v>
      </c>
      <c r="AB28" s="11">
        <v>8</v>
      </c>
      <c r="AC28" s="11">
        <v>0</v>
      </c>
      <c r="AD28" s="12">
        <v>0</v>
      </c>
      <c r="AE28" s="11">
        <v>400</v>
      </c>
      <c r="AF28" s="11">
        <v>10800</v>
      </c>
      <c r="AG28" s="11">
        <v>1300</v>
      </c>
      <c r="AH28" s="11">
        <v>1890</v>
      </c>
      <c r="AI28" s="11">
        <v>1215</v>
      </c>
      <c r="AJ28" s="11">
        <v>1200</v>
      </c>
      <c r="AK28" s="11">
        <v>1890</v>
      </c>
      <c r="AL28" s="94">
        <v>0</v>
      </c>
      <c r="AM28" s="11">
        <v>940.92</v>
      </c>
      <c r="AN28" s="11">
        <v>0</v>
      </c>
      <c r="AO28" s="11">
        <v>0</v>
      </c>
      <c r="AP28" s="11">
        <v>0</v>
      </c>
      <c r="AQ28" s="11">
        <v>0</v>
      </c>
      <c r="AR28" s="11">
        <v>500</v>
      </c>
      <c r="AS28" s="11">
        <v>0</v>
      </c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>
        <v>16</v>
      </c>
      <c r="BV28" s="53">
        <v>1600</v>
      </c>
      <c r="BW28" s="53"/>
      <c r="BX28" s="53"/>
      <c r="BY28" s="11">
        <v>6</v>
      </c>
      <c r="BZ28" s="53">
        <v>900</v>
      </c>
      <c r="CA28" s="11">
        <v>0</v>
      </c>
      <c r="CB28" s="53">
        <v>0</v>
      </c>
      <c r="CC28" s="53"/>
      <c r="CD28" s="53"/>
      <c r="CE28" s="11">
        <v>0</v>
      </c>
      <c r="CF28" s="53">
        <v>0</v>
      </c>
      <c r="CG28" s="43">
        <v>8125</v>
      </c>
      <c r="CH28" s="11">
        <v>9735.92</v>
      </c>
      <c r="CI28" s="94">
        <v>0</v>
      </c>
      <c r="CJ28" s="11">
        <v>0</v>
      </c>
      <c r="CK28" s="13"/>
      <c r="CL28" s="13">
        <v>28660.92</v>
      </c>
      <c r="CM28" s="11"/>
      <c r="CN28" s="11"/>
      <c r="CO28" s="14">
        <v>324</v>
      </c>
      <c r="CP28" s="14"/>
      <c r="CQ28" s="14"/>
      <c r="CR28" s="94"/>
      <c r="CS28" s="94"/>
      <c r="CT28" s="11">
        <v>0</v>
      </c>
      <c r="CU28" s="11"/>
      <c r="CV28" s="11">
        <v>0</v>
      </c>
      <c r="CW28" s="11"/>
      <c r="CX28" s="11"/>
      <c r="CY28" s="11">
        <v>0</v>
      </c>
      <c r="CZ28" s="95">
        <f t="shared" si="4"/>
        <v>324</v>
      </c>
      <c r="DA28" s="13">
        <f t="shared" si="5"/>
        <v>28336.92</v>
      </c>
      <c r="DB28" s="61">
        <v>28933.72</v>
      </c>
      <c r="DC28" s="61">
        <v>28660.92</v>
      </c>
      <c r="DD28" s="61"/>
      <c r="DE28" s="61"/>
      <c r="DF28" s="61"/>
      <c r="DG28" s="61"/>
      <c r="DH28" s="61"/>
      <c r="DI28" s="61"/>
      <c r="DJ28" s="61"/>
      <c r="DK28" s="61"/>
      <c r="DL28" s="61"/>
      <c r="DM28" s="62"/>
      <c r="DN28" s="15">
        <v>57594.64</v>
      </c>
      <c r="DO28" s="16">
        <v>-31750.68</v>
      </c>
      <c r="DP28" s="17">
        <v>0</v>
      </c>
      <c r="DQ28" s="61">
        <v>224</v>
      </c>
      <c r="DR28" s="61">
        <v>324</v>
      </c>
      <c r="DS28" s="61"/>
      <c r="DT28" s="61"/>
      <c r="DU28" s="61"/>
      <c r="DV28" s="61"/>
      <c r="DW28" s="61"/>
      <c r="DX28" s="61"/>
      <c r="DY28" s="61"/>
      <c r="DZ28" s="61"/>
      <c r="EA28" s="61"/>
      <c r="EB28" s="14"/>
      <c r="EC28" s="15">
        <f t="shared" si="6"/>
        <v>548</v>
      </c>
      <c r="ED28" s="11">
        <f>CP28</f>
        <v>0</v>
      </c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14"/>
      <c r="EP28" s="15">
        <f t="shared" si="7"/>
        <v>0</v>
      </c>
    </row>
    <row r="29" spans="1:146" s="18" customFormat="1" ht="35" customHeight="1">
      <c r="A29" s="4">
        <v>11</v>
      </c>
      <c r="B29" s="59" t="s">
        <v>400</v>
      </c>
      <c r="C29" s="219" t="s">
        <v>218</v>
      </c>
      <c r="D29" s="7">
        <v>1449900486865</v>
      </c>
      <c r="E29" s="7" t="s">
        <v>219</v>
      </c>
      <c r="F29" s="8" t="s">
        <v>34</v>
      </c>
      <c r="G29" s="9">
        <v>44949</v>
      </c>
      <c r="H29" s="10" t="s">
        <v>76</v>
      </c>
      <c r="I29" s="11">
        <v>400</v>
      </c>
      <c r="J29" s="11">
        <v>25</v>
      </c>
      <c r="K29" s="11">
        <v>10000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>
        <v>8</v>
      </c>
      <c r="W29" s="11">
        <v>400</v>
      </c>
      <c r="X29" s="11">
        <v>0</v>
      </c>
      <c r="Y29" s="11">
        <v>0</v>
      </c>
      <c r="Z29" s="11">
        <v>0</v>
      </c>
      <c r="AA29" s="11">
        <v>0</v>
      </c>
      <c r="AB29" s="11">
        <v>8</v>
      </c>
      <c r="AC29" s="11">
        <v>0</v>
      </c>
      <c r="AD29" s="12">
        <v>0</v>
      </c>
      <c r="AE29" s="11">
        <v>400</v>
      </c>
      <c r="AF29" s="11">
        <v>10800</v>
      </c>
      <c r="AG29" s="11">
        <v>1300</v>
      </c>
      <c r="AH29" s="11">
        <v>1890</v>
      </c>
      <c r="AI29" s="11">
        <v>1215</v>
      </c>
      <c r="AJ29" s="11">
        <v>1200</v>
      </c>
      <c r="AK29" s="11">
        <v>1890</v>
      </c>
      <c r="AL29" s="94">
        <v>0</v>
      </c>
      <c r="AM29" s="11">
        <v>940.92</v>
      </c>
      <c r="AN29" s="11">
        <v>0</v>
      </c>
      <c r="AO29" s="11">
        <v>0</v>
      </c>
      <c r="AP29" s="11">
        <v>0</v>
      </c>
      <c r="AQ29" s="11">
        <v>0</v>
      </c>
      <c r="AR29" s="11">
        <v>500</v>
      </c>
      <c r="AS29" s="11">
        <v>0</v>
      </c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>
        <v>16</v>
      </c>
      <c r="BV29" s="53">
        <v>1600</v>
      </c>
      <c r="BW29" s="53"/>
      <c r="BX29" s="53"/>
      <c r="BY29" s="11">
        <v>6</v>
      </c>
      <c r="BZ29" s="53">
        <v>900</v>
      </c>
      <c r="CA29" s="11">
        <v>0</v>
      </c>
      <c r="CB29" s="53">
        <v>0</v>
      </c>
      <c r="CC29" s="53"/>
      <c r="CD29" s="53"/>
      <c r="CE29" s="11">
        <v>0</v>
      </c>
      <c r="CF29" s="53">
        <v>0</v>
      </c>
      <c r="CG29" s="43">
        <v>8125</v>
      </c>
      <c r="CH29" s="11">
        <v>9735.92</v>
      </c>
      <c r="CI29" s="94">
        <v>0</v>
      </c>
      <c r="CJ29" s="11">
        <v>0</v>
      </c>
      <c r="CK29" s="13"/>
      <c r="CL29" s="13">
        <v>28660.92</v>
      </c>
      <c r="CM29" s="11"/>
      <c r="CN29" s="11"/>
      <c r="CO29" s="14">
        <v>324</v>
      </c>
      <c r="CP29" s="14"/>
      <c r="CQ29" s="14"/>
      <c r="CR29" s="94"/>
      <c r="CS29" s="94"/>
      <c r="CT29" s="11">
        <v>0</v>
      </c>
      <c r="CU29" s="11"/>
      <c r="CV29" s="11">
        <v>0</v>
      </c>
      <c r="CW29" s="11"/>
      <c r="CX29" s="11"/>
      <c r="CY29" s="11">
        <v>0</v>
      </c>
      <c r="CZ29" s="95">
        <f t="shared" si="4"/>
        <v>324</v>
      </c>
      <c r="DA29" s="13">
        <f t="shared" si="5"/>
        <v>28336.92</v>
      </c>
      <c r="DB29" s="61">
        <v>28933.72</v>
      </c>
      <c r="DC29" s="61">
        <v>28660.92</v>
      </c>
      <c r="DD29" s="61"/>
      <c r="DE29" s="61"/>
      <c r="DF29" s="61"/>
      <c r="DG29" s="61"/>
      <c r="DH29" s="61"/>
      <c r="DI29" s="61"/>
      <c r="DJ29" s="61"/>
      <c r="DK29" s="61"/>
      <c r="DL29" s="61"/>
      <c r="DM29" s="62"/>
      <c r="DN29" s="15">
        <v>57594.64</v>
      </c>
      <c r="DO29" s="16">
        <v>-31750.68</v>
      </c>
      <c r="DP29" s="17">
        <v>0</v>
      </c>
      <c r="DQ29" s="61">
        <v>224</v>
      </c>
      <c r="DR29" s="61">
        <v>324</v>
      </c>
      <c r="DS29" s="61"/>
      <c r="DT29" s="61"/>
      <c r="DU29" s="61"/>
      <c r="DV29" s="61"/>
      <c r="DW29" s="61"/>
      <c r="DX29" s="61"/>
      <c r="DY29" s="61"/>
      <c r="DZ29" s="61"/>
      <c r="EA29" s="61"/>
      <c r="EB29" s="14"/>
      <c r="EC29" s="15">
        <f t="shared" si="6"/>
        <v>548</v>
      </c>
      <c r="ED29" s="11">
        <f>CP29</f>
        <v>0</v>
      </c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14"/>
      <c r="EP29" s="15">
        <f t="shared" si="7"/>
        <v>0</v>
      </c>
    </row>
    <row r="30" spans="1:146" s="18" customFormat="1" ht="35" customHeight="1">
      <c r="A30" s="4">
        <v>12</v>
      </c>
      <c r="B30" s="59" t="s">
        <v>401</v>
      </c>
      <c r="C30" s="219" t="s">
        <v>220</v>
      </c>
      <c r="D30" s="7">
        <v>1449900486866</v>
      </c>
      <c r="E30" s="7" t="s">
        <v>221</v>
      </c>
      <c r="F30" s="8" t="s">
        <v>34</v>
      </c>
      <c r="G30" s="9">
        <v>44950</v>
      </c>
      <c r="H30" s="10" t="s">
        <v>76</v>
      </c>
      <c r="I30" s="11">
        <v>400</v>
      </c>
      <c r="J30" s="11">
        <v>25</v>
      </c>
      <c r="K30" s="11">
        <v>10000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>
        <v>8</v>
      </c>
      <c r="W30" s="11">
        <v>400</v>
      </c>
      <c r="X30" s="11">
        <v>0</v>
      </c>
      <c r="Y30" s="11">
        <v>0</v>
      </c>
      <c r="Z30" s="11">
        <v>0</v>
      </c>
      <c r="AA30" s="11">
        <v>0</v>
      </c>
      <c r="AB30" s="11">
        <v>8</v>
      </c>
      <c r="AC30" s="11">
        <v>0</v>
      </c>
      <c r="AD30" s="12">
        <v>0</v>
      </c>
      <c r="AE30" s="11">
        <v>400</v>
      </c>
      <c r="AF30" s="11">
        <v>10800</v>
      </c>
      <c r="AG30" s="11">
        <v>1300</v>
      </c>
      <c r="AH30" s="11">
        <v>1890</v>
      </c>
      <c r="AI30" s="11">
        <v>1215</v>
      </c>
      <c r="AJ30" s="11">
        <v>1200</v>
      </c>
      <c r="AK30" s="11">
        <v>1890</v>
      </c>
      <c r="AL30" s="94">
        <v>0</v>
      </c>
      <c r="AM30" s="11">
        <v>940.92</v>
      </c>
      <c r="AN30" s="11">
        <v>0</v>
      </c>
      <c r="AO30" s="11">
        <v>0</v>
      </c>
      <c r="AP30" s="11">
        <v>0</v>
      </c>
      <c r="AQ30" s="11">
        <v>0</v>
      </c>
      <c r="AR30" s="11">
        <v>500</v>
      </c>
      <c r="AS30" s="11">
        <v>0</v>
      </c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>
        <v>16</v>
      </c>
      <c r="BV30" s="53">
        <v>1600</v>
      </c>
      <c r="BW30" s="53"/>
      <c r="BX30" s="53"/>
      <c r="BY30" s="11">
        <v>6</v>
      </c>
      <c r="BZ30" s="53">
        <v>900</v>
      </c>
      <c r="CA30" s="11">
        <v>0</v>
      </c>
      <c r="CB30" s="53">
        <v>0</v>
      </c>
      <c r="CC30" s="53"/>
      <c r="CD30" s="53"/>
      <c r="CE30" s="11">
        <v>0</v>
      </c>
      <c r="CF30" s="53">
        <v>0</v>
      </c>
      <c r="CG30" s="43">
        <v>8125</v>
      </c>
      <c r="CH30" s="11">
        <v>9735.92</v>
      </c>
      <c r="CI30" s="94">
        <v>0</v>
      </c>
      <c r="CJ30" s="11">
        <v>0</v>
      </c>
      <c r="CK30" s="13"/>
      <c r="CL30" s="13">
        <v>28660.92</v>
      </c>
      <c r="CM30" s="11"/>
      <c r="CN30" s="11"/>
      <c r="CO30" s="14">
        <v>324</v>
      </c>
      <c r="CP30" s="14"/>
      <c r="CQ30" s="14"/>
      <c r="CR30" s="94"/>
      <c r="CS30" s="94"/>
      <c r="CT30" s="11">
        <v>0</v>
      </c>
      <c r="CU30" s="11"/>
      <c r="CV30" s="11">
        <v>0</v>
      </c>
      <c r="CW30" s="11"/>
      <c r="CX30" s="11"/>
      <c r="CY30" s="11">
        <v>0</v>
      </c>
      <c r="CZ30" s="95">
        <f t="shared" si="4"/>
        <v>324</v>
      </c>
      <c r="DA30" s="13">
        <f t="shared" si="5"/>
        <v>28336.92</v>
      </c>
      <c r="DB30" s="61">
        <v>28933.72</v>
      </c>
      <c r="DC30" s="61">
        <v>28660.92</v>
      </c>
      <c r="DD30" s="61"/>
      <c r="DE30" s="61"/>
      <c r="DF30" s="61"/>
      <c r="DG30" s="61"/>
      <c r="DH30" s="61"/>
      <c r="DI30" s="61"/>
      <c r="DJ30" s="61"/>
      <c r="DK30" s="61"/>
      <c r="DL30" s="61"/>
      <c r="DM30" s="62"/>
      <c r="DN30" s="15">
        <v>57594.64</v>
      </c>
      <c r="DO30" s="16">
        <v>-31750.68</v>
      </c>
      <c r="DP30" s="17">
        <v>0</v>
      </c>
      <c r="DQ30" s="61">
        <v>224</v>
      </c>
      <c r="DR30" s="61">
        <v>324</v>
      </c>
      <c r="DS30" s="61"/>
      <c r="DT30" s="61"/>
      <c r="DU30" s="61"/>
      <c r="DV30" s="61"/>
      <c r="DW30" s="61"/>
      <c r="DX30" s="61"/>
      <c r="DY30" s="61"/>
      <c r="DZ30" s="61"/>
      <c r="EA30" s="61"/>
      <c r="EB30" s="14"/>
      <c r="EC30" s="15">
        <f t="shared" si="6"/>
        <v>548</v>
      </c>
      <c r="ED30" s="11">
        <f>CP30</f>
        <v>0</v>
      </c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14"/>
      <c r="EP30" s="15">
        <f t="shared" si="7"/>
        <v>0</v>
      </c>
    </row>
    <row r="31" spans="1:146" s="18" customFormat="1" ht="35" customHeight="1">
      <c r="A31" s="4">
        <v>13</v>
      </c>
      <c r="B31" s="59" t="s">
        <v>402</v>
      </c>
      <c r="C31" s="219" t="s">
        <v>222</v>
      </c>
      <c r="D31" s="7">
        <v>1449900486867</v>
      </c>
      <c r="E31" s="7" t="s">
        <v>223</v>
      </c>
      <c r="F31" s="8" t="s">
        <v>34</v>
      </c>
      <c r="G31" s="9">
        <v>44951</v>
      </c>
      <c r="H31" s="10" t="s">
        <v>76</v>
      </c>
      <c r="I31" s="11">
        <v>400</v>
      </c>
      <c r="J31" s="11">
        <v>25</v>
      </c>
      <c r="K31" s="11">
        <v>10000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>
        <v>8</v>
      </c>
      <c r="W31" s="11">
        <v>400</v>
      </c>
      <c r="X31" s="11">
        <v>0</v>
      </c>
      <c r="Y31" s="11">
        <v>0</v>
      </c>
      <c r="Z31" s="11">
        <v>0</v>
      </c>
      <c r="AA31" s="11">
        <v>0</v>
      </c>
      <c r="AB31" s="11">
        <v>8</v>
      </c>
      <c r="AC31" s="11">
        <v>0</v>
      </c>
      <c r="AD31" s="12">
        <v>0</v>
      </c>
      <c r="AE31" s="11">
        <v>400</v>
      </c>
      <c r="AF31" s="11">
        <v>10800</v>
      </c>
      <c r="AG31" s="11">
        <v>1300</v>
      </c>
      <c r="AH31" s="11">
        <v>1890</v>
      </c>
      <c r="AI31" s="11">
        <v>1215</v>
      </c>
      <c r="AJ31" s="11">
        <v>1200</v>
      </c>
      <c r="AK31" s="11">
        <v>1890</v>
      </c>
      <c r="AL31" s="94">
        <v>0</v>
      </c>
      <c r="AM31" s="11">
        <v>940.92</v>
      </c>
      <c r="AN31" s="11">
        <v>0</v>
      </c>
      <c r="AO31" s="11">
        <v>0</v>
      </c>
      <c r="AP31" s="11">
        <v>0</v>
      </c>
      <c r="AQ31" s="11">
        <v>0</v>
      </c>
      <c r="AR31" s="11">
        <v>500</v>
      </c>
      <c r="AS31" s="11">
        <v>0</v>
      </c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>
        <v>16</v>
      </c>
      <c r="BV31" s="53">
        <v>1600</v>
      </c>
      <c r="BW31" s="53"/>
      <c r="BX31" s="53"/>
      <c r="BY31" s="11">
        <v>6</v>
      </c>
      <c r="BZ31" s="53">
        <v>900</v>
      </c>
      <c r="CA31" s="11">
        <v>0</v>
      </c>
      <c r="CB31" s="53">
        <v>0</v>
      </c>
      <c r="CC31" s="53"/>
      <c r="CD31" s="53"/>
      <c r="CE31" s="11">
        <v>0</v>
      </c>
      <c r="CF31" s="53">
        <v>0</v>
      </c>
      <c r="CG31" s="43">
        <v>8125</v>
      </c>
      <c r="CH31" s="11">
        <v>9735.92</v>
      </c>
      <c r="CI31" s="94">
        <v>0</v>
      </c>
      <c r="CJ31" s="11">
        <v>0</v>
      </c>
      <c r="CK31" s="13"/>
      <c r="CL31" s="13">
        <v>28660.92</v>
      </c>
      <c r="CM31" s="11"/>
      <c r="CN31" s="11"/>
      <c r="CO31" s="14">
        <v>324</v>
      </c>
      <c r="CP31" s="14"/>
      <c r="CQ31" s="14"/>
      <c r="CR31" s="94"/>
      <c r="CS31" s="94"/>
      <c r="CT31" s="11">
        <v>0</v>
      </c>
      <c r="CU31" s="11"/>
      <c r="CV31" s="11">
        <v>0</v>
      </c>
      <c r="CW31" s="11"/>
      <c r="CX31" s="11"/>
      <c r="CY31" s="11">
        <v>0</v>
      </c>
      <c r="CZ31" s="95">
        <f t="shared" si="4"/>
        <v>324</v>
      </c>
      <c r="DA31" s="13">
        <f t="shared" si="5"/>
        <v>28336.92</v>
      </c>
      <c r="DB31" s="61">
        <v>28933.72</v>
      </c>
      <c r="DC31" s="61">
        <v>28660.92</v>
      </c>
      <c r="DD31" s="61"/>
      <c r="DE31" s="61"/>
      <c r="DF31" s="61"/>
      <c r="DG31" s="61"/>
      <c r="DH31" s="61"/>
      <c r="DI31" s="61"/>
      <c r="DJ31" s="61"/>
      <c r="DK31" s="61"/>
      <c r="DL31" s="61"/>
      <c r="DM31" s="62"/>
      <c r="DN31" s="15">
        <v>57594.64</v>
      </c>
      <c r="DO31" s="16">
        <v>-31750.68</v>
      </c>
      <c r="DP31" s="17">
        <v>0</v>
      </c>
      <c r="DQ31" s="61">
        <v>224</v>
      </c>
      <c r="DR31" s="61">
        <v>324</v>
      </c>
      <c r="DS31" s="61"/>
      <c r="DT31" s="61"/>
      <c r="DU31" s="61"/>
      <c r="DV31" s="61"/>
      <c r="DW31" s="61"/>
      <c r="DX31" s="61"/>
      <c r="DY31" s="61"/>
      <c r="DZ31" s="61"/>
      <c r="EA31" s="61"/>
      <c r="EB31" s="14"/>
      <c r="EC31" s="15">
        <f t="shared" si="6"/>
        <v>548</v>
      </c>
      <c r="ED31" s="11">
        <f>CP31</f>
        <v>0</v>
      </c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14"/>
      <c r="EP31" s="15">
        <f t="shared" si="7"/>
        <v>0</v>
      </c>
    </row>
    <row r="32" spans="1:146" s="18" customFormat="1" ht="35" customHeight="1">
      <c r="A32" s="4">
        <v>14</v>
      </c>
      <c r="B32" s="59" t="s">
        <v>403</v>
      </c>
      <c r="C32" s="219" t="s">
        <v>224</v>
      </c>
      <c r="D32" s="7">
        <v>1449900486868</v>
      </c>
      <c r="E32" s="7" t="s">
        <v>225</v>
      </c>
      <c r="F32" s="8" t="s">
        <v>34</v>
      </c>
      <c r="G32" s="9">
        <v>44952</v>
      </c>
      <c r="H32" s="10" t="s">
        <v>76</v>
      </c>
      <c r="I32" s="11">
        <v>400</v>
      </c>
      <c r="J32" s="11">
        <v>25</v>
      </c>
      <c r="K32" s="11">
        <v>10000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>
        <v>8</v>
      </c>
      <c r="W32" s="11">
        <v>400</v>
      </c>
      <c r="X32" s="11">
        <v>0</v>
      </c>
      <c r="Y32" s="11">
        <v>0</v>
      </c>
      <c r="Z32" s="11">
        <v>0</v>
      </c>
      <c r="AA32" s="11">
        <v>0</v>
      </c>
      <c r="AB32" s="11">
        <v>8</v>
      </c>
      <c r="AC32" s="11">
        <v>0</v>
      </c>
      <c r="AD32" s="12">
        <v>0</v>
      </c>
      <c r="AE32" s="11">
        <v>400</v>
      </c>
      <c r="AF32" s="11">
        <v>10800</v>
      </c>
      <c r="AG32" s="11">
        <v>1300</v>
      </c>
      <c r="AH32" s="11">
        <v>1890</v>
      </c>
      <c r="AI32" s="11">
        <v>1215</v>
      </c>
      <c r="AJ32" s="11">
        <v>1200</v>
      </c>
      <c r="AK32" s="11">
        <v>1890</v>
      </c>
      <c r="AL32" s="94">
        <v>0</v>
      </c>
      <c r="AM32" s="11">
        <v>940.92</v>
      </c>
      <c r="AN32" s="11">
        <v>0</v>
      </c>
      <c r="AO32" s="11">
        <v>0</v>
      </c>
      <c r="AP32" s="11">
        <v>0</v>
      </c>
      <c r="AQ32" s="11">
        <v>0</v>
      </c>
      <c r="AR32" s="11">
        <v>500</v>
      </c>
      <c r="AS32" s="11">
        <v>0</v>
      </c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>
        <v>16</v>
      </c>
      <c r="BV32" s="53">
        <v>1600</v>
      </c>
      <c r="BW32" s="53"/>
      <c r="BX32" s="53"/>
      <c r="BY32" s="11">
        <v>6</v>
      </c>
      <c r="BZ32" s="53">
        <v>900</v>
      </c>
      <c r="CA32" s="11">
        <v>0</v>
      </c>
      <c r="CB32" s="53">
        <v>0</v>
      </c>
      <c r="CC32" s="53"/>
      <c r="CD32" s="53"/>
      <c r="CE32" s="11">
        <v>0</v>
      </c>
      <c r="CF32" s="53">
        <v>0</v>
      </c>
      <c r="CG32" s="43">
        <v>8125</v>
      </c>
      <c r="CH32" s="11">
        <v>9735.92</v>
      </c>
      <c r="CI32" s="94">
        <v>0</v>
      </c>
      <c r="CJ32" s="11">
        <v>0</v>
      </c>
      <c r="CK32" s="13"/>
      <c r="CL32" s="13">
        <v>28660.92</v>
      </c>
      <c r="CM32" s="11"/>
      <c r="CN32" s="11"/>
      <c r="CO32" s="14">
        <v>324</v>
      </c>
      <c r="CP32" s="14"/>
      <c r="CQ32" s="14"/>
      <c r="CR32" s="94"/>
      <c r="CS32" s="94"/>
      <c r="CT32" s="11">
        <v>0</v>
      </c>
      <c r="CU32" s="11"/>
      <c r="CV32" s="11">
        <v>0</v>
      </c>
      <c r="CW32" s="11"/>
      <c r="CX32" s="11"/>
      <c r="CY32" s="11">
        <v>0</v>
      </c>
      <c r="CZ32" s="95">
        <f t="shared" si="4"/>
        <v>324</v>
      </c>
      <c r="DA32" s="13">
        <f t="shared" si="5"/>
        <v>28336.92</v>
      </c>
      <c r="DB32" s="61">
        <v>28933.72</v>
      </c>
      <c r="DC32" s="61">
        <v>28660.92</v>
      </c>
      <c r="DD32" s="61"/>
      <c r="DE32" s="61"/>
      <c r="DF32" s="61"/>
      <c r="DG32" s="61"/>
      <c r="DH32" s="61"/>
      <c r="DI32" s="61"/>
      <c r="DJ32" s="61"/>
      <c r="DK32" s="61"/>
      <c r="DL32" s="61"/>
      <c r="DM32" s="62"/>
      <c r="DN32" s="15">
        <v>57594.64</v>
      </c>
      <c r="DO32" s="16">
        <v>-31750.68</v>
      </c>
      <c r="DP32" s="17">
        <v>0</v>
      </c>
      <c r="DQ32" s="61">
        <v>224</v>
      </c>
      <c r="DR32" s="61">
        <v>324</v>
      </c>
      <c r="DS32" s="61"/>
      <c r="DT32" s="61"/>
      <c r="DU32" s="61"/>
      <c r="DV32" s="61"/>
      <c r="DW32" s="61"/>
      <c r="DX32" s="61"/>
      <c r="DY32" s="61"/>
      <c r="DZ32" s="61"/>
      <c r="EA32" s="61"/>
      <c r="EB32" s="14"/>
      <c r="EC32" s="15">
        <f t="shared" si="6"/>
        <v>548</v>
      </c>
      <c r="ED32" s="11">
        <f>CP32</f>
        <v>0</v>
      </c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14"/>
      <c r="EP32" s="15">
        <f t="shared" si="7"/>
        <v>0</v>
      </c>
    </row>
    <row r="33" spans="1:146" s="18" customFormat="1" ht="35" customHeight="1">
      <c r="A33" s="4">
        <v>15</v>
      </c>
      <c r="B33" s="59" t="s">
        <v>404</v>
      </c>
      <c r="C33" s="219" t="s">
        <v>226</v>
      </c>
      <c r="D33" s="7">
        <v>1449900486869</v>
      </c>
      <c r="E33" s="7" t="s">
        <v>227</v>
      </c>
      <c r="F33" s="8" t="s">
        <v>34</v>
      </c>
      <c r="G33" s="9">
        <v>44953</v>
      </c>
      <c r="H33" s="10" t="s">
        <v>76</v>
      </c>
      <c r="I33" s="11">
        <v>400</v>
      </c>
      <c r="J33" s="11">
        <v>25</v>
      </c>
      <c r="K33" s="11">
        <v>10000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>
        <v>8</v>
      </c>
      <c r="W33" s="11">
        <v>400</v>
      </c>
      <c r="X33" s="11">
        <v>0</v>
      </c>
      <c r="Y33" s="11">
        <v>0</v>
      </c>
      <c r="Z33" s="11">
        <v>0</v>
      </c>
      <c r="AA33" s="11">
        <v>0</v>
      </c>
      <c r="AB33" s="11">
        <v>8</v>
      </c>
      <c r="AC33" s="11">
        <v>0</v>
      </c>
      <c r="AD33" s="12">
        <v>0</v>
      </c>
      <c r="AE33" s="11">
        <v>400</v>
      </c>
      <c r="AF33" s="11">
        <v>10800</v>
      </c>
      <c r="AG33" s="11">
        <v>1300</v>
      </c>
      <c r="AH33" s="11">
        <v>1890</v>
      </c>
      <c r="AI33" s="11">
        <v>1215</v>
      </c>
      <c r="AJ33" s="11">
        <v>1200</v>
      </c>
      <c r="AK33" s="11">
        <v>1890</v>
      </c>
      <c r="AL33" s="94">
        <v>0</v>
      </c>
      <c r="AM33" s="11">
        <v>940.92</v>
      </c>
      <c r="AN33" s="11">
        <v>0</v>
      </c>
      <c r="AO33" s="11">
        <v>0</v>
      </c>
      <c r="AP33" s="11">
        <v>0</v>
      </c>
      <c r="AQ33" s="11">
        <v>0</v>
      </c>
      <c r="AR33" s="11">
        <v>500</v>
      </c>
      <c r="AS33" s="11">
        <v>0</v>
      </c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>
        <v>16</v>
      </c>
      <c r="BV33" s="53">
        <v>1600</v>
      </c>
      <c r="BW33" s="53"/>
      <c r="BX33" s="53"/>
      <c r="BY33" s="11">
        <v>6</v>
      </c>
      <c r="BZ33" s="53">
        <v>900</v>
      </c>
      <c r="CA33" s="11">
        <v>0</v>
      </c>
      <c r="CB33" s="53">
        <v>0</v>
      </c>
      <c r="CC33" s="53"/>
      <c r="CD33" s="53"/>
      <c r="CE33" s="11">
        <v>0</v>
      </c>
      <c r="CF33" s="53">
        <v>0</v>
      </c>
      <c r="CG33" s="43">
        <v>8125</v>
      </c>
      <c r="CH33" s="11">
        <v>9735.92</v>
      </c>
      <c r="CI33" s="94">
        <v>0</v>
      </c>
      <c r="CJ33" s="11">
        <v>0</v>
      </c>
      <c r="CK33" s="13"/>
      <c r="CL33" s="13">
        <v>28660.92</v>
      </c>
      <c r="CM33" s="11"/>
      <c r="CN33" s="11"/>
      <c r="CO33" s="14">
        <v>324</v>
      </c>
      <c r="CP33" s="14"/>
      <c r="CQ33" s="14"/>
      <c r="CR33" s="94"/>
      <c r="CS33" s="94"/>
      <c r="CT33" s="11">
        <v>0</v>
      </c>
      <c r="CU33" s="11"/>
      <c r="CV33" s="11">
        <v>0</v>
      </c>
      <c r="CW33" s="11"/>
      <c r="CX33" s="11"/>
      <c r="CY33" s="11">
        <v>0</v>
      </c>
      <c r="CZ33" s="95">
        <f t="shared" si="4"/>
        <v>324</v>
      </c>
      <c r="DA33" s="13">
        <f t="shared" si="5"/>
        <v>28336.92</v>
      </c>
      <c r="DB33" s="61">
        <v>28933.72</v>
      </c>
      <c r="DC33" s="61">
        <v>28660.92</v>
      </c>
      <c r="DD33" s="61"/>
      <c r="DE33" s="61"/>
      <c r="DF33" s="61"/>
      <c r="DG33" s="61"/>
      <c r="DH33" s="61"/>
      <c r="DI33" s="61"/>
      <c r="DJ33" s="61"/>
      <c r="DK33" s="61"/>
      <c r="DL33" s="61"/>
      <c r="DM33" s="62"/>
      <c r="DN33" s="15">
        <v>57594.64</v>
      </c>
      <c r="DO33" s="16">
        <v>-31750.68</v>
      </c>
      <c r="DP33" s="17">
        <v>0</v>
      </c>
      <c r="DQ33" s="61">
        <v>224</v>
      </c>
      <c r="DR33" s="61">
        <v>324</v>
      </c>
      <c r="DS33" s="61"/>
      <c r="DT33" s="61"/>
      <c r="DU33" s="61"/>
      <c r="DV33" s="61"/>
      <c r="DW33" s="61"/>
      <c r="DX33" s="61"/>
      <c r="DY33" s="61"/>
      <c r="DZ33" s="61"/>
      <c r="EA33" s="61"/>
      <c r="EB33" s="14"/>
      <c r="EC33" s="15">
        <f t="shared" si="6"/>
        <v>548</v>
      </c>
      <c r="ED33" s="11">
        <f>CP33</f>
        <v>0</v>
      </c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14"/>
      <c r="EP33" s="15">
        <f t="shared" si="7"/>
        <v>0</v>
      </c>
    </row>
    <row r="34" spans="1:146" s="18" customFormat="1" ht="35" customHeight="1">
      <c r="A34" s="4">
        <v>16</v>
      </c>
      <c r="B34" s="59" t="s">
        <v>405</v>
      </c>
      <c r="C34" s="219" t="s">
        <v>228</v>
      </c>
      <c r="D34" s="7">
        <v>1449900486870</v>
      </c>
      <c r="E34" s="7" t="s">
        <v>229</v>
      </c>
      <c r="F34" s="8" t="s">
        <v>34</v>
      </c>
      <c r="G34" s="9">
        <v>44954</v>
      </c>
      <c r="H34" s="10" t="s">
        <v>76</v>
      </c>
      <c r="I34" s="11">
        <v>400</v>
      </c>
      <c r="J34" s="11">
        <v>25</v>
      </c>
      <c r="K34" s="11">
        <v>10000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>
        <v>8</v>
      </c>
      <c r="W34" s="11">
        <v>400</v>
      </c>
      <c r="X34" s="11">
        <v>0</v>
      </c>
      <c r="Y34" s="11">
        <v>0</v>
      </c>
      <c r="Z34" s="11">
        <v>0</v>
      </c>
      <c r="AA34" s="11">
        <v>0</v>
      </c>
      <c r="AB34" s="11">
        <v>8</v>
      </c>
      <c r="AC34" s="11">
        <v>0</v>
      </c>
      <c r="AD34" s="12">
        <v>0</v>
      </c>
      <c r="AE34" s="11">
        <v>400</v>
      </c>
      <c r="AF34" s="11">
        <v>10800</v>
      </c>
      <c r="AG34" s="11">
        <v>1300</v>
      </c>
      <c r="AH34" s="11">
        <v>1890</v>
      </c>
      <c r="AI34" s="11">
        <v>1215</v>
      </c>
      <c r="AJ34" s="11">
        <v>1200</v>
      </c>
      <c r="AK34" s="11">
        <v>1890</v>
      </c>
      <c r="AL34" s="94">
        <v>0</v>
      </c>
      <c r="AM34" s="11">
        <v>940.92</v>
      </c>
      <c r="AN34" s="11">
        <v>0</v>
      </c>
      <c r="AO34" s="11">
        <v>0</v>
      </c>
      <c r="AP34" s="11">
        <v>0</v>
      </c>
      <c r="AQ34" s="11">
        <v>0</v>
      </c>
      <c r="AR34" s="11">
        <v>500</v>
      </c>
      <c r="AS34" s="11">
        <v>0</v>
      </c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>
        <v>16</v>
      </c>
      <c r="BV34" s="53">
        <v>1600</v>
      </c>
      <c r="BW34" s="53"/>
      <c r="BX34" s="53"/>
      <c r="BY34" s="11">
        <v>6</v>
      </c>
      <c r="BZ34" s="53">
        <v>900</v>
      </c>
      <c r="CA34" s="11">
        <v>0</v>
      </c>
      <c r="CB34" s="53">
        <v>0</v>
      </c>
      <c r="CC34" s="53"/>
      <c r="CD34" s="53"/>
      <c r="CE34" s="11">
        <v>0</v>
      </c>
      <c r="CF34" s="53">
        <v>0</v>
      </c>
      <c r="CG34" s="43">
        <v>8125</v>
      </c>
      <c r="CH34" s="11">
        <v>9735.92</v>
      </c>
      <c r="CI34" s="94">
        <v>0</v>
      </c>
      <c r="CJ34" s="11">
        <v>0</v>
      </c>
      <c r="CK34" s="13"/>
      <c r="CL34" s="13">
        <v>28660.92</v>
      </c>
      <c r="CM34" s="11"/>
      <c r="CN34" s="11"/>
      <c r="CO34" s="14">
        <v>324</v>
      </c>
      <c r="CP34" s="14"/>
      <c r="CQ34" s="14"/>
      <c r="CR34" s="94"/>
      <c r="CS34" s="94"/>
      <c r="CT34" s="11">
        <v>0</v>
      </c>
      <c r="CU34" s="11"/>
      <c r="CV34" s="11">
        <v>0</v>
      </c>
      <c r="CW34" s="11"/>
      <c r="CX34" s="11"/>
      <c r="CY34" s="11">
        <v>0</v>
      </c>
      <c r="CZ34" s="95">
        <f t="shared" si="4"/>
        <v>324</v>
      </c>
      <c r="DA34" s="13">
        <f t="shared" si="5"/>
        <v>28336.92</v>
      </c>
      <c r="DB34" s="61">
        <v>28933.72</v>
      </c>
      <c r="DC34" s="61">
        <v>28660.92</v>
      </c>
      <c r="DD34" s="61"/>
      <c r="DE34" s="61"/>
      <c r="DF34" s="61"/>
      <c r="DG34" s="61"/>
      <c r="DH34" s="61"/>
      <c r="DI34" s="61"/>
      <c r="DJ34" s="61"/>
      <c r="DK34" s="61"/>
      <c r="DL34" s="61"/>
      <c r="DM34" s="62"/>
      <c r="DN34" s="15">
        <v>57594.64</v>
      </c>
      <c r="DO34" s="16">
        <v>-31750.68</v>
      </c>
      <c r="DP34" s="17">
        <v>0</v>
      </c>
      <c r="DQ34" s="61">
        <v>224</v>
      </c>
      <c r="DR34" s="61">
        <v>324</v>
      </c>
      <c r="DS34" s="61"/>
      <c r="DT34" s="61"/>
      <c r="DU34" s="61"/>
      <c r="DV34" s="61"/>
      <c r="DW34" s="61"/>
      <c r="DX34" s="61"/>
      <c r="DY34" s="61"/>
      <c r="DZ34" s="61"/>
      <c r="EA34" s="61"/>
      <c r="EB34" s="14"/>
      <c r="EC34" s="15">
        <f t="shared" si="6"/>
        <v>548</v>
      </c>
      <c r="ED34" s="11">
        <f>CP34</f>
        <v>0</v>
      </c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14"/>
      <c r="EP34" s="15">
        <f t="shared" si="7"/>
        <v>0</v>
      </c>
    </row>
    <row r="35" spans="1:146" s="18" customFormat="1" ht="35" customHeight="1">
      <c r="A35" s="4">
        <v>17</v>
      </c>
      <c r="B35" s="59" t="s">
        <v>406</v>
      </c>
      <c r="C35" s="219" t="s">
        <v>230</v>
      </c>
      <c r="D35" s="7">
        <v>1449900486871</v>
      </c>
      <c r="E35" s="7" t="s">
        <v>231</v>
      </c>
      <c r="F35" s="8" t="s">
        <v>34</v>
      </c>
      <c r="G35" s="9">
        <v>44955</v>
      </c>
      <c r="H35" s="10" t="s">
        <v>76</v>
      </c>
      <c r="I35" s="11">
        <v>400</v>
      </c>
      <c r="J35" s="11">
        <v>25</v>
      </c>
      <c r="K35" s="11">
        <v>10000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>
        <v>8</v>
      </c>
      <c r="W35" s="11">
        <v>400</v>
      </c>
      <c r="X35" s="11">
        <v>0</v>
      </c>
      <c r="Y35" s="11">
        <v>0</v>
      </c>
      <c r="Z35" s="11">
        <v>0</v>
      </c>
      <c r="AA35" s="11">
        <v>0</v>
      </c>
      <c r="AB35" s="11">
        <v>8</v>
      </c>
      <c r="AC35" s="11">
        <v>0</v>
      </c>
      <c r="AD35" s="12">
        <v>0</v>
      </c>
      <c r="AE35" s="11">
        <v>400</v>
      </c>
      <c r="AF35" s="11">
        <v>10800</v>
      </c>
      <c r="AG35" s="11">
        <v>1300</v>
      </c>
      <c r="AH35" s="11">
        <v>1890</v>
      </c>
      <c r="AI35" s="11">
        <v>1215</v>
      </c>
      <c r="AJ35" s="11">
        <v>1200</v>
      </c>
      <c r="AK35" s="11">
        <v>1890</v>
      </c>
      <c r="AL35" s="94">
        <v>0</v>
      </c>
      <c r="AM35" s="11">
        <v>940.92</v>
      </c>
      <c r="AN35" s="11">
        <v>0</v>
      </c>
      <c r="AO35" s="11">
        <v>0</v>
      </c>
      <c r="AP35" s="11">
        <v>0</v>
      </c>
      <c r="AQ35" s="11">
        <v>0</v>
      </c>
      <c r="AR35" s="11">
        <v>500</v>
      </c>
      <c r="AS35" s="11">
        <v>0</v>
      </c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>
        <v>16</v>
      </c>
      <c r="BV35" s="53">
        <v>1600</v>
      </c>
      <c r="BW35" s="53"/>
      <c r="BX35" s="53"/>
      <c r="BY35" s="11">
        <v>6</v>
      </c>
      <c r="BZ35" s="53">
        <v>900</v>
      </c>
      <c r="CA35" s="11">
        <v>0</v>
      </c>
      <c r="CB35" s="53">
        <v>0</v>
      </c>
      <c r="CC35" s="53"/>
      <c r="CD35" s="53"/>
      <c r="CE35" s="11">
        <v>0</v>
      </c>
      <c r="CF35" s="53">
        <v>0</v>
      </c>
      <c r="CG35" s="43">
        <v>8125</v>
      </c>
      <c r="CH35" s="11">
        <v>9735.92</v>
      </c>
      <c r="CI35" s="94">
        <v>0</v>
      </c>
      <c r="CJ35" s="11">
        <v>0</v>
      </c>
      <c r="CK35" s="13"/>
      <c r="CL35" s="13">
        <v>28660.92</v>
      </c>
      <c r="CM35" s="11"/>
      <c r="CN35" s="11"/>
      <c r="CO35" s="14">
        <v>324</v>
      </c>
      <c r="CP35" s="14"/>
      <c r="CQ35" s="14"/>
      <c r="CR35" s="94"/>
      <c r="CS35" s="94"/>
      <c r="CT35" s="11">
        <v>0</v>
      </c>
      <c r="CU35" s="11"/>
      <c r="CV35" s="11">
        <v>0</v>
      </c>
      <c r="CW35" s="11"/>
      <c r="CX35" s="11"/>
      <c r="CY35" s="11">
        <v>0</v>
      </c>
      <c r="CZ35" s="95">
        <f t="shared" si="4"/>
        <v>324</v>
      </c>
      <c r="DA35" s="13">
        <f t="shared" si="5"/>
        <v>28336.92</v>
      </c>
      <c r="DB35" s="61">
        <v>28933.72</v>
      </c>
      <c r="DC35" s="61">
        <v>28660.92</v>
      </c>
      <c r="DD35" s="61"/>
      <c r="DE35" s="61"/>
      <c r="DF35" s="61"/>
      <c r="DG35" s="61"/>
      <c r="DH35" s="61"/>
      <c r="DI35" s="61"/>
      <c r="DJ35" s="61"/>
      <c r="DK35" s="61"/>
      <c r="DL35" s="61"/>
      <c r="DM35" s="62"/>
      <c r="DN35" s="15">
        <v>57594.64</v>
      </c>
      <c r="DO35" s="16">
        <v>-31750.68</v>
      </c>
      <c r="DP35" s="17">
        <v>0</v>
      </c>
      <c r="DQ35" s="61">
        <v>224</v>
      </c>
      <c r="DR35" s="61">
        <v>324</v>
      </c>
      <c r="DS35" s="61"/>
      <c r="DT35" s="61"/>
      <c r="DU35" s="61"/>
      <c r="DV35" s="61"/>
      <c r="DW35" s="61"/>
      <c r="DX35" s="61"/>
      <c r="DY35" s="61"/>
      <c r="DZ35" s="61"/>
      <c r="EA35" s="61"/>
      <c r="EB35" s="14"/>
      <c r="EC35" s="15">
        <f t="shared" si="6"/>
        <v>548</v>
      </c>
      <c r="ED35" s="11">
        <f>CP35</f>
        <v>0</v>
      </c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14"/>
      <c r="EP35" s="15">
        <f t="shared" si="7"/>
        <v>0</v>
      </c>
    </row>
    <row r="36" spans="1:146" s="18" customFormat="1" ht="35" customHeight="1">
      <c r="A36" s="4">
        <v>18</v>
      </c>
      <c r="B36" s="59" t="s">
        <v>407</v>
      </c>
      <c r="C36" s="219" t="s">
        <v>232</v>
      </c>
      <c r="D36" s="7">
        <v>1449900486872</v>
      </c>
      <c r="E36" s="7" t="s">
        <v>233</v>
      </c>
      <c r="F36" s="8" t="s">
        <v>34</v>
      </c>
      <c r="G36" s="9">
        <v>44956</v>
      </c>
      <c r="H36" s="10" t="s">
        <v>76</v>
      </c>
      <c r="I36" s="11">
        <v>400</v>
      </c>
      <c r="J36" s="11">
        <v>25</v>
      </c>
      <c r="K36" s="11">
        <v>10000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>
        <v>8</v>
      </c>
      <c r="W36" s="11">
        <v>400</v>
      </c>
      <c r="X36" s="11">
        <v>0</v>
      </c>
      <c r="Y36" s="11">
        <v>0</v>
      </c>
      <c r="Z36" s="11">
        <v>0</v>
      </c>
      <c r="AA36" s="11">
        <v>0</v>
      </c>
      <c r="AB36" s="11">
        <v>8</v>
      </c>
      <c r="AC36" s="11">
        <v>0</v>
      </c>
      <c r="AD36" s="12">
        <v>0</v>
      </c>
      <c r="AE36" s="11">
        <v>400</v>
      </c>
      <c r="AF36" s="11">
        <v>10800</v>
      </c>
      <c r="AG36" s="11">
        <v>1300</v>
      </c>
      <c r="AH36" s="11">
        <v>1890</v>
      </c>
      <c r="AI36" s="11">
        <v>1215</v>
      </c>
      <c r="AJ36" s="11">
        <v>1200</v>
      </c>
      <c r="AK36" s="11">
        <v>1890</v>
      </c>
      <c r="AL36" s="94">
        <v>0</v>
      </c>
      <c r="AM36" s="11">
        <v>940.92</v>
      </c>
      <c r="AN36" s="11">
        <v>0</v>
      </c>
      <c r="AO36" s="11">
        <v>0</v>
      </c>
      <c r="AP36" s="11">
        <v>0</v>
      </c>
      <c r="AQ36" s="11">
        <v>0</v>
      </c>
      <c r="AR36" s="11">
        <v>500</v>
      </c>
      <c r="AS36" s="11">
        <v>0</v>
      </c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>
        <v>16</v>
      </c>
      <c r="BV36" s="53">
        <v>1600</v>
      </c>
      <c r="BW36" s="53"/>
      <c r="BX36" s="53"/>
      <c r="BY36" s="11">
        <v>6</v>
      </c>
      <c r="BZ36" s="53">
        <v>900</v>
      </c>
      <c r="CA36" s="11">
        <v>0</v>
      </c>
      <c r="CB36" s="53">
        <v>0</v>
      </c>
      <c r="CC36" s="53"/>
      <c r="CD36" s="53"/>
      <c r="CE36" s="11">
        <v>0</v>
      </c>
      <c r="CF36" s="53">
        <v>0</v>
      </c>
      <c r="CG36" s="43">
        <v>8125</v>
      </c>
      <c r="CH36" s="11">
        <v>9735.92</v>
      </c>
      <c r="CI36" s="94">
        <v>0</v>
      </c>
      <c r="CJ36" s="11">
        <v>0</v>
      </c>
      <c r="CK36" s="13"/>
      <c r="CL36" s="13">
        <v>28660.92</v>
      </c>
      <c r="CM36" s="11"/>
      <c r="CN36" s="11"/>
      <c r="CO36" s="14">
        <v>324</v>
      </c>
      <c r="CP36" s="14"/>
      <c r="CQ36" s="14"/>
      <c r="CR36" s="94"/>
      <c r="CS36" s="94"/>
      <c r="CT36" s="11">
        <v>0</v>
      </c>
      <c r="CU36" s="11"/>
      <c r="CV36" s="11">
        <v>0</v>
      </c>
      <c r="CW36" s="11"/>
      <c r="CX36" s="11"/>
      <c r="CY36" s="11">
        <v>0</v>
      </c>
      <c r="CZ36" s="95">
        <f t="shared" si="4"/>
        <v>324</v>
      </c>
      <c r="DA36" s="13">
        <f t="shared" si="5"/>
        <v>28336.92</v>
      </c>
      <c r="DB36" s="61">
        <v>28933.72</v>
      </c>
      <c r="DC36" s="61">
        <v>28660.92</v>
      </c>
      <c r="DD36" s="61"/>
      <c r="DE36" s="61"/>
      <c r="DF36" s="61"/>
      <c r="DG36" s="61"/>
      <c r="DH36" s="61"/>
      <c r="DI36" s="61"/>
      <c r="DJ36" s="61"/>
      <c r="DK36" s="61"/>
      <c r="DL36" s="61"/>
      <c r="DM36" s="62"/>
      <c r="DN36" s="15">
        <v>57594.64</v>
      </c>
      <c r="DO36" s="16">
        <v>-31750.68</v>
      </c>
      <c r="DP36" s="17">
        <v>0</v>
      </c>
      <c r="DQ36" s="61">
        <v>224</v>
      </c>
      <c r="DR36" s="61">
        <v>324</v>
      </c>
      <c r="DS36" s="61"/>
      <c r="DT36" s="61"/>
      <c r="DU36" s="61"/>
      <c r="DV36" s="61"/>
      <c r="DW36" s="61"/>
      <c r="DX36" s="61"/>
      <c r="DY36" s="61"/>
      <c r="DZ36" s="61"/>
      <c r="EA36" s="61"/>
      <c r="EB36" s="14"/>
      <c r="EC36" s="15">
        <f t="shared" si="6"/>
        <v>548</v>
      </c>
      <c r="ED36" s="11">
        <f>CP36</f>
        <v>0</v>
      </c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14"/>
      <c r="EP36" s="15">
        <f t="shared" si="7"/>
        <v>0</v>
      </c>
    </row>
    <row r="37" spans="1:146" s="18" customFormat="1" ht="35" customHeight="1">
      <c r="A37" s="4">
        <v>19</v>
      </c>
      <c r="B37" s="59" t="s">
        <v>408</v>
      </c>
      <c r="C37" s="219" t="s">
        <v>234</v>
      </c>
      <c r="D37" s="7">
        <v>1449900486873</v>
      </c>
      <c r="E37" s="7" t="s">
        <v>235</v>
      </c>
      <c r="F37" s="8" t="s">
        <v>34</v>
      </c>
      <c r="G37" s="9">
        <v>44957</v>
      </c>
      <c r="H37" s="10" t="s">
        <v>76</v>
      </c>
      <c r="I37" s="11">
        <v>400</v>
      </c>
      <c r="J37" s="11">
        <v>25</v>
      </c>
      <c r="K37" s="11">
        <v>10000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>
        <v>8</v>
      </c>
      <c r="W37" s="11">
        <v>400</v>
      </c>
      <c r="X37" s="11">
        <v>0</v>
      </c>
      <c r="Y37" s="11">
        <v>0</v>
      </c>
      <c r="Z37" s="11">
        <v>0</v>
      </c>
      <c r="AA37" s="11">
        <v>0</v>
      </c>
      <c r="AB37" s="11">
        <v>8</v>
      </c>
      <c r="AC37" s="11">
        <v>0</v>
      </c>
      <c r="AD37" s="12">
        <v>0</v>
      </c>
      <c r="AE37" s="11">
        <v>400</v>
      </c>
      <c r="AF37" s="11">
        <v>10800</v>
      </c>
      <c r="AG37" s="11">
        <v>1300</v>
      </c>
      <c r="AH37" s="11">
        <v>1890</v>
      </c>
      <c r="AI37" s="11">
        <v>1215</v>
      </c>
      <c r="AJ37" s="11">
        <v>1200</v>
      </c>
      <c r="AK37" s="11">
        <v>1890</v>
      </c>
      <c r="AL37" s="94">
        <v>0</v>
      </c>
      <c r="AM37" s="11">
        <v>940.92</v>
      </c>
      <c r="AN37" s="11">
        <v>0</v>
      </c>
      <c r="AO37" s="11">
        <v>0</v>
      </c>
      <c r="AP37" s="11">
        <v>0</v>
      </c>
      <c r="AQ37" s="11">
        <v>0</v>
      </c>
      <c r="AR37" s="11">
        <v>500</v>
      </c>
      <c r="AS37" s="11">
        <v>0</v>
      </c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>
        <v>16</v>
      </c>
      <c r="BV37" s="53">
        <v>1600</v>
      </c>
      <c r="BW37" s="53"/>
      <c r="BX37" s="53"/>
      <c r="BY37" s="11">
        <v>6</v>
      </c>
      <c r="BZ37" s="53">
        <v>900</v>
      </c>
      <c r="CA37" s="11">
        <v>0</v>
      </c>
      <c r="CB37" s="53">
        <v>0</v>
      </c>
      <c r="CC37" s="53"/>
      <c r="CD37" s="53"/>
      <c r="CE37" s="11">
        <v>0</v>
      </c>
      <c r="CF37" s="53">
        <v>0</v>
      </c>
      <c r="CG37" s="43">
        <v>8125</v>
      </c>
      <c r="CH37" s="11">
        <v>9735.92</v>
      </c>
      <c r="CI37" s="94">
        <v>0</v>
      </c>
      <c r="CJ37" s="11">
        <v>0</v>
      </c>
      <c r="CK37" s="13"/>
      <c r="CL37" s="13">
        <v>28660.92</v>
      </c>
      <c r="CM37" s="11"/>
      <c r="CN37" s="11"/>
      <c r="CO37" s="14">
        <v>324</v>
      </c>
      <c r="CP37" s="14"/>
      <c r="CQ37" s="14"/>
      <c r="CR37" s="94"/>
      <c r="CS37" s="94"/>
      <c r="CT37" s="11">
        <v>0</v>
      </c>
      <c r="CU37" s="11"/>
      <c r="CV37" s="11">
        <v>0</v>
      </c>
      <c r="CW37" s="11"/>
      <c r="CX37" s="11"/>
      <c r="CY37" s="11">
        <v>0</v>
      </c>
      <c r="CZ37" s="95">
        <f t="shared" si="4"/>
        <v>324</v>
      </c>
      <c r="DA37" s="13">
        <f t="shared" si="5"/>
        <v>28336.92</v>
      </c>
      <c r="DB37" s="61">
        <v>28933.72</v>
      </c>
      <c r="DC37" s="61">
        <v>28660.92</v>
      </c>
      <c r="DD37" s="61"/>
      <c r="DE37" s="61"/>
      <c r="DF37" s="61"/>
      <c r="DG37" s="61"/>
      <c r="DH37" s="61"/>
      <c r="DI37" s="61"/>
      <c r="DJ37" s="61"/>
      <c r="DK37" s="61"/>
      <c r="DL37" s="61"/>
      <c r="DM37" s="62"/>
      <c r="DN37" s="15">
        <v>57594.64</v>
      </c>
      <c r="DO37" s="16">
        <v>-31750.68</v>
      </c>
      <c r="DP37" s="17">
        <v>0</v>
      </c>
      <c r="DQ37" s="61">
        <v>224</v>
      </c>
      <c r="DR37" s="61">
        <v>324</v>
      </c>
      <c r="DS37" s="61"/>
      <c r="DT37" s="61"/>
      <c r="DU37" s="61"/>
      <c r="DV37" s="61"/>
      <c r="DW37" s="61"/>
      <c r="DX37" s="61"/>
      <c r="DY37" s="61"/>
      <c r="DZ37" s="61"/>
      <c r="EA37" s="61"/>
      <c r="EB37" s="14"/>
      <c r="EC37" s="15">
        <f t="shared" si="6"/>
        <v>548</v>
      </c>
      <c r="ED37" s="11">
        <f>CP37</f>
        <v>0</v>
      </c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14"/>
      <c r="EP37" s="15">
        <f t="shared" si="7"/>
        <v>0</v>
      </c>
    </row>
    <row r="38" spans="1:146" s="18" customFormat="1" ht="35" customHeight="1">
      <c r="A38" s="4">
        <v>20</v>
      </c>
      <c r="B38" s="59" t="s">
        <v>409</v>
      </c>
      <c r="C38" s="219" t="s">
        <v>236</v>
      </c>
      <c r="D38" s="7">
        <v>1449900486874</v>
      </c>
      <c r="E38" s="7" t="s">
        <v>237</v>
      </c>
      <c r="F38" s="8" t="s">
        <v>34</v>
      </c>
      <c r="G38" s="9">
        <v>44958</v>
      </c>
      <c r="H38" s="10" t="s">
        <v>76</v>
      </c>
      <c r="I38" s="11">
        <v>400</v>
      </c>
      <c r="J38" s="11">
        <v>25</v>
      </c>
      <c r="K38" s="11">
        <v>10000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8</v>
      </c>
      <c r="W38" s="11">
        <v>400</v>
      </c>
      <c r="X38" s="11">
        <v>0</v>
      </c>
      <c r="Y38" s="11">
        <v>0</v>
      </c>
      <c r="Z38" s="11">
        <v>0</v>
      </c>
      <c r="AA38" s="11">
        <v>0</v>
      </c>
      <c r="AB38" s="11">
        <v>8</v>
      </c>
      <c r="AC38" s="11">
        <v>0</v>
      </c>
      <c r="AD38" s="12">
        <v>0</v>
      </c>
      <c r="AE38" s="11">
        <v>400</v>
      </c>
      <c r="AF38" s="11">
        <v>10800</v>
      </c>
      <c r="AG38" s="11">
        <v>1300</v>
      </c>
      <c r="AH38" s="11">
        <v>1890</v>
      </c>
      <c r="AI38" s="11">
        <v>1215</v>
      </c>
      <c r="AJ38" s="11">
        <v>1200</v>
      </c>
      <c r="AK38" s="11">
        <v>1890</v>
      </c>
      <c r="AL38" s="94">
        <v>0</v>
      </c>
      <c r="AM38" s="11">
        <v>940.92</v>
      </c>
      <c r="AN38" s="11">
        <v>0</v>
      </c>
      <c r="AO38" s="11">
        <v>0</v>
      </c>
      <c r="AP38" s="11">
        <v>0</v>
      </c>
      <c r="AQ38" s="11">
        <v>0</v>
      </c>
      <c r="AR38" s="11">
        <v>500</v>
      </c>
      <c r="AS38" s="11">
        <v>0</v>
      </c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>
        <v>16</v>
      </c>
      <c r="BV38" s="53">
        <v>1600</v>
      </c>
      <c r="BW38" s="53"/>
      <c r="BX38" s="53"/>
      <c r="BY38" s="11">
        <v>6</v>
      </c>
      <c r="BZ38" s="53">
        <v>900</v>
      </c>
      <c r="CA38" s="11">
        <v>0</v>
      </c>
      <c r="CB38" s="53">
        <v>0</v>
      </c>
      <c r="CC38" s="53"/>
      <c r="CD38" s="53"/>
      <c r="CE38" s="11">
        <v>0</v>
      </c>
      <c r="CF38" s="53">
        <v>0</v>
      </c>
      <c r="CG38" s="43">
        <v>8125</v>
      </c>
      <c r="CH38" s="11">
        <v>9735.92</v>
      </c>
      <c r="CI38" s="94">
        <v>0</v>
      </c>
      <c r="CJ38" s="11">
        <v>0</v>
      </c>
      <c r="CK38" s="13"/>
      <c r="CL38" s="13">
        <v>28660.92</v>
      </c>
      <c r="CM38" s="11"/>
      <c r="CN38" s="11"/>
      <c r="CO38" s="14">
        <v>324</v>
      </c>
      <c r="CP38" s="14"/>
      <c r="CQ38" s="14"/>
      <c r="CR38" s="94"/>
      <c r="CS38" s="94"/>
      <c r="CT38" s="11">
        <v>0</v>
      </c>
      <c r="CU38" s="11"/>
      <c r="CV38" s="11">
        <v>0</v>
      </c>
      <c r="CW38" s="11"/>
      <c r="CX38" s="11"/>
      <c r="CY38" s="11">
        <v>0</v>
      </c>
      <c r="CZ38" s="95">
        <f t="shared" si="4"/>
        <v>324</v>
      </c>
      <c r="DA38" s="13">
        <f t="shared" si="5"/>
        <v>28336.92</v>
      </c>
      <c r="DB38" s="61">
        <v>28933.72</v>
      </c>
      <c r="DC38" s="61">
        <v>28660.92</v>
      </c>
      <c r="DD38" s="61"/>
      <c r="DE38" s="61"/>
      <c r="DF38" s="61"/>
      <c r="DG38" s="61"/>
      <c r="DH38" s="61"/>
      <c r="DI38" s="61"/>
      <c r="DJ38" s="61"/>
      <c r="DK38" s="61"/>
      <c r="DL38" s="61"/>
      <c r="DM38" s="62"/>
      <c r="DN38" s="15">
        <v>57594.64</v>
      </c>
      <c r="DO38" s="16">
        <v>-31750.68</v>
      </c>
      <c r="DP38" s="17">
        <v>0</v>
      </c>
      <c r="DQ38" s="61">
        <v>224</v>
      </c>
      <c r="DR38" s="61">
        <v>324</v>
      </c>
      <c r="DS38" s="61"/>
      <c r="DT38" s="61"/>
      <c r="DU38" s="61"/>
      <c r="DV38" s="61"/>
      <c r="DW38" s="61"/>
      <c r="DX38" s="61"/>
      <c r="DY38" s="61"/>
      <c r="DZ38" s="61"/>
      <c r="EA38" s="61"/>
      <c r="EB38" s="14"/>
      <c r="EC38" s="15">
        <f t="shared" si="6"/>
        <v>548</v>
      </c>
      <c r="ED38" s="11">
        <f>CP38</f>
        <v>0</v>
      </c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14"/>
      <c r="EP38" s="15">
        <f t="shared" si="7"/>
        <v>0</v>
      </c>
    </row>
    <row r="39" spans="1:146" s="18" customFormat="1" ht="35" customHeight="1">
      <c r="A39" s="4">
        <v>21</v>
      </c>
      <c r="B39" s="59" t="s">
        <v>410</v>
      </c>
      <c r="C39" s="219" t="s">
        <v>238</v>
      </c>
      <c r="D39" s="7">
        <v>1449900486875</v>
      </c>
      <c r="E39" s="7" t="s">
        <v>239</v>
      </c>
      <c r="F39" s="8" t="s">
        <v>34</v>
      </c>
      <c r="G39" s="9">
        <v>44959</v>
      </c>
      <c r="H39" s="10" t="s">
        <v>76</v>
      </c>
      <c r="I39" s="11">
        <v>400</v>
      </c>
      <c r="J39" s="11">
        <v>25</v>
      </c>
      <c r="K39" s="11">
        <v>10000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>
        <v>8</v>
      </c>
      <c r="W39" s="11">
        <v>400</v>
      </c>
      <c r="X39" s="11">
        <v>0</v>
      </c>
      <c r="Y39" s="11">
        <v>0</v>
      </c>
      <c r="Z39" s="11">
        <v>0</v>
      </c>
      <c r="AA39" s="11">
        <v>0</v>
      </c>
      <c r="AB39" s="11">
        <v>8</v>
      </c>
      <c r="AC39" s="11">
        <v>0</v>
      </c>
      <c r="AD39" s="12">
        <v>0</v>
      </c>
      <c r="AE39" s="11">
        <v>400</v>
      </c>
      <c r="AF39" s="11">
        <v>10800</v>
      </c>
      <c r="AG39" s="11">
        <v>1300</v>
      </c>
      <c r="AH39" s="11">
        <v>1890</v>
      </c>
      <c r="AI39" s="11">
        <v>1215</v>
      </c>
      <c r="AJ39" s="11">
        <v>1200</v>
      </c>
      <c r="AK39" s="11">
        <v>1890</v>
      </c>
      <c r="AL39" s="94">
        <v>0</v>
      </c>
      <c r="AM39" s="11">
        <v>940.92</v>
      </c>
      <c r="AN39" s="11">
        <v>0</v>
      </c>
      <c r="AO39" s="11">
        <v>0</v>
      </c>
      <c r="AP39" s="11">
        <v>0</v>
      </c>
      <c r="AQ39" s="11">
        <v>0</v>
      </c>
      <c r="AR39" s="11">
        <v>500</v>
      </c>
      <c r="AS39" s="11">
        <v>0</v>
      </c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>
        <v>16</v>
      </c>
      <c r="BV39" s="53">
        <v>1600</v>
      </c>
      <c r="BW39" s="53"/>
      <c r="BX39" s="53"/>
      <c r="BY39" s="11">
        <v>6</v>
      </c>
      <c r="BZ39" s="53">
        <v>900</v>
      </c>
      <c r="CA39" s="11">
        <v>0</v>
      </c>
      <c r="CB39" s="53">
        <v>0</v>
      </c>
      <c r="CC39" s="53"/>
      <c r="CD39" s="53"/>
      <c r="CE39" s="11">
        <v>0</v>
      </c>
      <c r="CF39" s="53">
        <v>0</v>
      </c>
      <c r="CG39" s="43">
        <v>8125</v>
      </c>
      <c r="CH39" s="11">
        <v>9735.92</v>
      </c>
      <c r="CI39" s="94">
        <v>0</v>
      </c>
      <c r="CJ39" s="11">
        <v>0</v>
      </c>
      <c r="CK39" s="13"/>
      <c r="CL39" s="13">
        <v>28660.92</v>
      </c>
      <c r="CM39" s="11"/>
      <c r="CN39" s="11"/>
      <c r="CO39" s="14">
        <v>324</v>
      </c>
      <c r="CP39" s="14"/>
      <c r="CQ39" s="14"/>
      <c r="CR39" s="94"/>
      <c r="CS39" s="94"/>
      <c r="CT39" s="11">
        <v>0</v>
      </c>
      <c r="CU39" s="11"/>
      <c r="CV39" s="11">
        <v>0</v>
      </c>
      <c r="CW39" s="11"/>
      <c r="CX39" s="11"/>
      <c r="CY39" s="11">
        <v>0</v>
      </c>
      <c r="CZ39" s="95">
        <f t="shared" si="4"/>
        <v>324</v>
      </c>
      <c r="DA39" s="13">
        <f t="shared" si="5"/>
        <v>28336.92</v>
      </c>
      <c r="DB39" s="61">
        <v>28933.72</v>
      </c>
      <c r="DC39" s="61">
        <v>28660.92</v>
      </c>
      <c r="DD39" s="61"/>
      <c r="DE39" s="61"/>
      <c r="DF39" s="61"/>
      <c r="DG39" s="61"/>
      <c r="DH39" s="61"/>
      <c r="DI39" s="61"/>
      <c r="DJ39" s="61"/>
      <c r="DK39" s="61"/>
      <c r="DL39" s="61"/>
      <c r="DM39" s="62"/>
      <c r="DN39" s="15">
        <v>57594.64</v>
      </c>
      <c r="DO39" s="16">
        <v>-31750.68</v>
      </c>
      <c r="DP39" s="17">
        <v>0</v>
      </c>
      <c r="DQ39" s="61">
        <v>224</v>
      </c>
      <c r="DR39" s="61">
        <v>324</v>
      </c>
      <c r="DS39" s="61"/>
      <c r="DT39" s="61"/>
      <c r="DU39" s="61"/>
      <c r="DV39" s="61"/>
      <c r="DW39" s="61"/>
      <c r="DX39" s="61"/>
      <c r="DY39" s="61"/>
      <c r="DZ39" s="61"/>
      <c r="EA39" s="61"/>
      <c r="EB39" s="14"/>
      <c r="EC39" s="15">
        <f t="shared" si="6"/>
        <v>548</v>
      </c>
      <c r="ED39" s="11">
        <f>CP39</f>
        <v>0</v>
      </c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14"/>
      <c r="EP39" s="15">
        <f t="shared" si="7"/>
        <v>0</v>
      </c>
    </row>
    <row r="40" spans="1:146" s="18" customFormat="1" ht="35" customHeight="1">
      <c r="A40" s="4">
        <v>22</v>
      </c>
      <c r="B40" s="59" t="s">
        <v>411</v>
      </c>
      <c r="C40" s="219" t="s">
        <v>240</v>
      </c>
      <c r="D40" s="7">
        <v>1449900486876</v>
      </c>
      <c r="E40" s="7" t="s">
        <v>241</v>
      </c>
      <c r="F40" s="8" t="s">
        <v>34</v>
      </c>
      <c r="G40" s="9">
        <v>44960</v>
      </c>
      <c r="H40" s="10" t="s">
        <v>76</v>
      </c>
      <c r="I40" s="11">
        <v>400</v>
      </c>
      <c r="J40" s="11">
        <v>25</v>
      </c>
      <c r="K40" s="11">
        <v>10000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8</v>
      </c>
      <c r="W40" s="11">
        <v>400</v>
      </c>
      <c r="X40" s="11">
        <v>0</v>
      </c>
      <c r="Y40" s="11">
        <v>0</v>
      </c>
      <c r="Z40" s="11">
        <v>0</v>
      </c>
      <c r="AA40" s="11">
        <v>0</v>
      </c>
      <c r="AB40" s="11">
        <v>8</v>
      </c>
      <c r="AC40" s="11">
        <v>0</v>
      </c>
      <c r="AD40" s="12">
        <v>0</v>
      </c>
      <c r="AE40" s="11">
        <v>400</v>
      </c>
      <c r="AF40" s="11">
        <v>10800</v>
      </c>
      <c r="AG40" s="11">
        <v>1300</v>
      </c>
      <c r="AH40" s="11">
        <v>1890</v>
      </c>
      <c r="AI40" s="11">
        <v>1215</v>
      </c>
      <c r="AJ40" s="11">
        <v>1200</v>
      </c>
      <c r="AK40" s="11">
        <v>1890</v>
      </c>
      <c r="AL40" s="94">
        <v>0</v>
      </c>
      <c r="AM40" s="11">
        <v>940.92</v>
      </c>
      <c r="AN40" s="11">
        <v>0</v>
      </c>
      <c r="AO40" s="11">
        <v>0</v>
      </c>
      <c r="AP40" s="11">
        <v>0</v>
      </c>
      <c r="AQ40" s="11">
        <v>0</v>
      </c>
      <c r="AR40" s="11">
        <v>500</v>
      </c>
      <c r="AS40" s="11">
        <v>0</v>
      </c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>
        <v>16</v>
      </c>
      <c r="BV40" s="53">
        <v>1600</v>
      </c>
      <c r="BW40" s="53"/>
      <c r="BX40" s="53"/>
      <c r="BY40" s="11">
        <v>6</v>
      </c>
      <c r="BZ40" s="53">
        <v>900</v>
      </c>
      <c r="CA40" s="11">
        <v>0</v>
      </c>
      <c r="CB40" s="53">
        <v>0</v>
      </c>
      <c r="CC40" s="53"/>
      <c r="CD40" s="53"/>
      <c r="CE40" s="11">
        <v>0</v>
      </c>
      <c r="CF40" s="53">
        <v>0</v>
      </c>
      <c r="CG40" s="43">
        <v>8125</v>
      </c>
      <c r="CH40" s="11">
        <v>9735.92</v>
      </c>
      <c r="CI40" s="94">
        <v>0</v>
      </c>
      <c r="CJ40" s="11">
        <v>0</v>
      </c>
      <c r="CK40" s="13"/>
      <c r="CL40" s="13">
        <v>28660.92</v>
      </c>
      <c r="CM40" s="11"/>
      <c r="CN40" s="11"/>
      <c r="CO40" s="14">
        <v>324</v>
      </c>
      <c r="CP40" s="14"/>
      <c r="CQ40" s="14"/>
      <c r="CR40" s="94"/>
      <c r="CS40" s="94"/>
      <c r="CT40" s="11">
        <v>0</v>
      </c>
      <c r="CU40" s="11"/>
      <c r="CV40" s="11">
        <v>0</v>
      </c>
      <c r="CW40" s="11"/>
      <c r="CX40" s="11"/>
      <c r="CY40" s="11">
        <v>0</v>
      </c>
      <c r="CZ40" s="95">
        <f t="shared" si="4"/>
        <v>324</v>
      </c>
      <c r="DA40" s="13">
        <f t="shared" si="5"/>
        <v>28336.92</v>
      </c>
      <c r="DB40" s="61">
        <v>28933.72</v>
      </c>
      <c r="DC40" s="61">
        <v>28660.92</v>
      </c>
      <c r="DD40" s="61"/>
      <c r="DE40" s="61"/>
      <c r="DF40" s="61"/>
      <c r="DG40" s="61"/>
      <c r="DH40" s="61"/>
      <c r="DI40" s="61"/>
      <c r="DJ40" s="61"/>
      <c r="DK40" s="61"/>
      <c r="DL40" s="61"/>
      <c r="DM40" s="62"/>
      <c r="DN40" s="15">
        <v>57594.64</v>
      </c>
      <c r="DO40" s="16">
        <v>-31750.68</v>
      </c>
      <c r="DP40" s="17">
        <v>0</v>
      </c>
      <c r="DQ40" s="61">
        <v>224</v>
      </c>
      <c r="DR40" s="61">
        <v>324</v>
      </c>
      <c r="DS40" s="61"/>
      <c r="DT40" s="61"/>
      <c r="DU40" s="61"/>
      <c r="DV40" s="61"/>
      <c r="DW40" s="61"/>
      <c r="DX40" s="61"/>
      <c r="DY40" s="61"/>
      <c r="DZ40" s="61"/>
      <c r="EA40" s="61"/>
      <c r="EB40" s="14"/>
      <c r="EC40" s="15">
        <f t="shared" si="6"/>
        <v>548</v>
      </c>
      <c r="ED40" s="11">
        <f>CP40</f>
        <v>0</v>
      </c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14"/>
      <c r="EP40" s="15">
        <f t="shared" si="7"/>
        <v>0</v>
      </c>
    </row>
    <row r="41" spans="1:146" s="18" customFormat="1" ht="35" customHeight="1">
      <c r="A41" s="4">
        <v>23</v>
      </c>
      <c r="B41" s="59" t="s">
        <v>412</v>
      </c>
      <c r="C41" s="219" t="s">
        <v>242</v>
      </c>
      <c r="D41" s="7">
        <v>1449900486877</v>
      </c>
      <c r="E41" s="7" t="s">
        <v>243</v>
      </c>
      <c r="F41" s="8" t="s">
        <v>34</v>
      </c>
      <c r="G41" s="9">
        <v>44961</v>
      </c>
      <c r="H41" s="10" t="s">
        <v>76</v>
      </c>
      <c r="I41" s="11">
        <v>400</v>
      </c>
      <c r="J41" s="11">
        <v>25</v>
      </c>
      <c r="K41" s="11">
        <v>10000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8</v>
      </c>
      <c r="W41" s="11">
        <v>400</v>
      </c>
      <c r="X41" s="11">
        <v>0</v>
      </c>
      <c r="Y41" s="11">
        <v>0</v>
      </c>
      <c r="Z41" s="11">
        <v>0</v>
      </c>
      <c r="AA41" s="11">
        <v>0</v>
      </c>
      <c r="AB41" s="11">
        <v>8</v>
      </c>
      <c r="AC41" s="11">
        <v>0</v>
      </c>
      <c r="AD41" s="12">
        <v>0</v>
      </c>
      <c r="AE41" s="11">
        <v>400</v>
      </c>
      <c r="AF41" s="11">
        <v>10800</v>
      </c>
      <c r="AG41" s="11">
        <v>1300</v>
      </c>
      <c r="AH41" s="11">
        <v>1890</v>
      </c>
      <c r="AI41" s="11">
        <v>1215</v>
      </c>
      <c r="AJ41" s="11">
        <v>1200</v>
      </c>
      <c r="AK41" s="11">
        <v>1890</v>
      </c>
      <c r="AL41" s="94">
        <v>0</v>
      </c>
      <c r="AM41" s="11">
        <v>940.92</v>
      </c>
      <c r="AN41" s="11">
        <v>0</v>
      </c>
      <c r="AO41" s="11">
        <v>0</v>
      </c>
      <c r="AP41" s="11">
        <v>0</v>
      </c>
      <c r="AQ41" s="11">
        <v>0</v>
      </c>
      <c r="AR41" s="11">
        <v>500</v>
      </c>
      <c r="AS41" s="11">
        <v>0</v>
      </c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>
        <v>16</v>
      </c>
      <c r="BV41" s="53">
        <v>1600</v>
      </c>
      <c r="BW41" s="53"/>
      <c r="BX41" s="53"/>
      <c r="BY41" s="11">
        <v>6</v>
      </c>
      <c r="BZ41" s="53">
        <v>900</v>
      </c>
      <c r="CA41" s="11">
        <v>0</v>
      </c>
      <c r="CB41" s="53">
        <v>0</v>
      </c>
      <c r="CC41" s="53"/>
      <c r="CD41" s="53"/>
      <c r="CE41" s="11">
        <v>0</v>
      </c>
      <c r="CF41" s="53">
        <v>0</v>
      </c>
      <c r="CG41" s="43">
        <v>8125</v>
      </c>
      <c r="CH41" s="11">
        <v>9735.92</v>
      </c>
      <c r="CI41" s="94">
        <v>0</v>
      </c>
      <c r="CJ41" s="11">
        <v>0</v>
      </c>
      <c r="CK41" s="13"/>
      <c r="CL41" s="13">
        <v>28660.92</v>
      </c>
      <c r="CM41" s="11"/>
      <c r="CN41" s="11"/>
      <c r="CO41" s="14">
        <v>324</v>
      </c>
      <c r="CP41" s="14"/>
      <c r="CQ41" s="14"/>
      <c r="CR41" s="94"/>
      <c r="CS41" s="94"/>
      <c r="CT41" s="11">
        <v>0</v>
      </c>
      <c r="CU41" s="11"/>
      <c r="CV41" s="11">
        <v>0</v>
      </c>
      <c r="CW41" s="11"/>
      <c r="CX41" s="11"/>
      <c r="CY41" s="11">
        <v>0</v>
      </c>
      <c r="CZ41" s="95">
        <f t="shared" si="4"/>
        <v>324</v>
      </c>
      <c r="DA41" s="13">
        <f t="shared" si="5"/>
        <v>28336.92</v>
      </c>
      <c r="DB41" s="61">
        <v>28933.72</v>
      </c>
      <c r="DC41" s="61">
        <v>28660.92</v>
      </c>
      <c r="DD41" s="61"/>
      <c r="DE41" s="61"/>
      <c r="DF41" s="61"/>
      <c r="DG41" s="61"/>
      <c r="DH41" s="61"/>
      <c r="DI41" s="61"/>
      <c r="DJ41" s="61"/>
      <c r="DK41" s="61"/>
      <c r="DL41" s="61"/>
      <c r="DM41" s="62"/>
      <c r="DN41" s="15">
        <v>57594.64</v>
      </c>
      <c r="DO41" s="16">
        <v>-31750.68</v>
      </c>
      <c r="DP41" s="17">
        <v>0</v>
      </c>
      <c r="DQ41" s="61">
        <v>224</v>
      </c>
      <c r="DR41" s="61">
        <v>324</v>
      </c>
      <c r="DS41" s="61"/>
      <c r="DT41" s="61"/>
      <c r="DU41" s="61"/>
      <c r="DV41" s="61"/>
      <c r="DW41" s="61"/>
      <c r="DX41" s="61"/>
      <c r="DY41" s="61"/>
      <c r="DZ41" s="61"/>
      <c r="EA41" s="61"/>
      <c r="EB41" s="14"/>
      <c r="EC41" s="15">
        <f t="shared" si="6"/>
        <v>548</v>
      </c>
      <c r="ED41" s="11">
        <f>CP41</f>
        <v>0</v>
      </c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14"/>
      <c r="EP41" s="15">
        <f t="shared" si="7"/>
        <v>0</v>
      </c>
    </row>
    <row r="42" spans="1:146" s="18" customFormat="1" ht="35" customHeight="1">
      <c r="A42" s="4">
        <v>24</v>
      </c>
      <c r="B42" s="59" t="s">
        <v>413</v>
      </c>
      <c r="C42" s="219" t="s">
        <v>244</v>
      </c>
      <c r="D42" s="7">
        <v>1449900486878</v>
      </c>
      <c r="E42" s="7" t="s">
        <v>245</v>
      </c>
      <c r="F42" s="8" t="s">
        <v>34</v>
      </c>
      <c r="G42" s="9">
        <v>44962</v>
      </c>
      <c r="H42" s="10" t="s">
        <v>76</v>
      </c>
      <c r="I42" s="11">
        <v>400</v>
      </c>
      <c r="J42" s="11">
        <v>25</v>
      </c>
      <c r="K42" s="11">
        <v>10000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8</v>
      </c>
      <c r="W42" s="11">
        <v>400</v>
      </c>
      <c r="X42" s="11">
        <v>0</v>
      </c>
      <c r="Y42" s="11">
        <v>0</v>
      </c>
      <c r="Z42" s="11">
        <v>0</v>
      </c>
      <c r="AA42" s="11">
        <v>0</v>
      </c>
      <c r="AB42" s="11">
        <v>8</v>
      </c>
      <c r="AC42" s="11">
        <v>0</v>
      </c>
      <c r="AD42" s="12">
        <v>0</v>
      </c>
      <c r="AE42" s="11">
        <v>400</v>
      </c>
      <c r="AF42" s="11">
        <v>10800</v>
      </c>
      <c r="AG42" s="11">
        <v>1300</v>
      </c>
      <c r="AH42" s="11">
        <v>1890</v>
      </c>
      <c r="AI42" s="11">
        <v>1215</v>
      </c>
      <c r="AJ42" s="11">
        <v>1200</v>
      </c>
      <c r="AK42" s="11">
        <v>1890</v>
      </c>
      <c r="AL42" s="94">
        <v>0</v>
      </c>
      <c r="AM42" s="11">
        <v>940.92</v>
      </c>
      <c r="AN42" s="11">
        <v>0</v>
      </c>
      <c r="AO42" s="11">
        <v>0</v>
      </c>
      <c r="AP42" s="11">
        <v>0</v>
      </c>
      <c r="AQ42" s="11">
        <v>0</v>
      </c>
      <c r="AR42" s="11">
        <v>500</v>
      </c>
      <c r="AS42" s="11">
        <v>0</v>
      </c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>
        <v>16</v>
      </c>
      <c r="BV42" s="53">
        <v>1600</v>
      </c>
      <c r="BW42" s="53"/>
      <c r="BX42" s="53"/>
      <c r="BY42" s="11">
        <v>6</v>
      </c>
      <c r="BZ42" s="53">
        <v>900</v>
      </c>
      <c r="CA42" s="11">
        <v>0</v>
      </c>
      <c r="CB42" s="53">
        <v>0</v>
      </c>
      <c r="CC42" s="53"/>
      <c r="CD42" s="53"/>
      <c r="CE42" s="11">
        <v>0</v>
      </c>
      <c r="CF42" s="53">
        <v>0</v>
      </c>
      <c r="CG42" s="43">
        <v>8125</v>
      </c>
      <c r="CH42" s="11">
        <v>9735.92</v>
      </c>
      <c r="CI42" s="94">
        <v>0</v>
      </c>
      <c r="CJ42" s="11">
        <v>0</v>
      </c>
      <c r="CK42" s="13"/>
      <c r="CL42" s="13">
        <v>28660.92</v>
      </c>
      <c r="CM42" s="11"/>
      <c r="CN42" s="11"/>
      <c r="CO42" s="14">
        <v>324</v>
      </c>
      <c r="CP42" s="14"/>
      <c r="CQ42" s="14"/>
      <c r="CR42" s="94"/>
      <c r="CS42" s="94"/>
      <c r="CT42" s="11">
        <v>0</v>
      </c>
      <c r="CU42" s="11"/>
      <c r="CV42" s="11">
        <v>0</v>
      </c>
      <c r="CW42" s="11"/>
      <c r="CX42" s="11"/>
      <c r="CY42" s="11">
        <v>0</v>
      </c>
      <c r="CZ42" s="95">
        <f t="shared" si="4"/>
        <v>324</v>
      </c>
      <c r="DA42" s="13">
        <f t="shared" si="5"/>
        <v>28336.92</v>
      </c>
      <c r="DB42" s="61">
        <v>28933.72</v>
      </c>
      <c r="DC42" s="61">
        <v>28660.92</v>
      </c>
      <c r="DD42" s="61"/>
      <c r="DE42" s="61"/>
      <c r="DF42" s="61"/>
      <c r="DG42" s="61"/>
      <c r="DH42" s="61"/>
      <c r="DI42" s="61"/>
      <c r="DJ42" s="61"/>
      <c r="DK42" s="61"/>
      <c r="DL42" s="61"/>
      <c r="DM42" s="62"/>
      <c r="DN42" s="15">
        <v>57594.64</v>
      </c>
      <c r="DO42" s="16">
        <v>-31750.68</v>
      </c>
      <c r="DP42" s="17">
        <v>0</v>
      </c>
      <c r="DQ42" s="61">
        <v>224</v>
      </c>
      <c r="DR42" s="61">
        <v>324</v>
      </c>
      <c r="DS42" s="61"/>
      <c r="DT42" s="61"/>
      <c r="DU42" s="61"/>
      <c r="DV42" s="61"/>
      <c r="DW42" s="61"/>
      <c r="DX42" s="61"/>
      <c r="DY42" s="61"/>
      <c r="DZ42" s="61"/>
      <c r="EA42" s="61"/>
      <c r="EB42" s="14"/>
      <c r="EC42" s="15">
        <f t="shared" si="6"/>
        <v>548</v>
      </c>
      <c r="ED42" s="11">
        <f>CP42</f>
        <v>0</v>
      </c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14"/>
      <c r="EP42" s="15">
        <f t="shared" si="7"/>
        <v>0</v>
      </c>
    </row>
    <row r="43" spans="1:146" s="18" customFormat="1" ht="35" customHeight="1">
      <c r="A43" s="4">
        <v>25</v>
      </c>
      <c r="B43" s="59" t="s">
        <v>414</v>
      </c>
      <c r="C43" s="219" t="s">
        <v>246</v>
      </c>
      <c r="D43" s="7">
        <v>1449900486879</v>
      </c>
      <c r="E43" s="7" t="s">
        <v>247</v>
      </c>
      <c r="F43" s="8" t="s">
        <v>34</v>
      </c>
      <c r="G43" s="9">
        <v>44963</v>
      </c>
      <c r="H43" s="10" t="s">
        <v>76</v>
      </c>
      <c r="I43" s="11">
        <v>400</v>
      </c>
      <c r="J43" s="11">
        <v>25</v>
      </c>
      <c r="K43" s="11">
        <v>10000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8</v>
      </c>
      <c r="W43" s="11">
        <v>400</v>
      </c>
      <c r="X43" s="11">
        <v>0</v>
      </c>
      <c r="Y43" s="11">
        <v>0</v>
      </c>
      <c r="Z43" s="11">
        <v>0</v>
      </c>
      <c r="AA43" s="11">
        <v>0</v>
      </c>
      <c r="AB43" s="11">
        <v>8</v>
      </c>
      <c r="AC43" s="11">
        <v>0</v>
      </c>
      <c r="AD43" s="12">
        <v>0</v>
      </c>
      <c r="AE43" s="11">
        <v>400</v>
      </c>
      <c r="AF43" s="11">
        <v>10800</v>
      </c>
      <c r="AG43" s="11">
        <v>1300</v>
      </c>
      <c r="AH43" s="11">
        <v>1890</v>
      </c>
      <c r="AI43" s="11">
        <v>1215</v>
      </c>
      <c r="AJ43" s="11">
        <v>1200</v>
      </c>
      <c r="AK43" s="11">
        <v>1890</v>
      </c>
      <c r="AL43" s="94">
        <v>0</v>
      </c>
      <c r="AM43" s="11">
        <v>940.92</v>
      </c>
      <c r="AN43" s="11">
        <v>0</v>
      </c>
      <c r="AO43" s="11">
        <v>0</v>
      </c>
      <c r="AP43" s="11">
        <v>0</v>
      </c>
      <c r="AQ43" s="11">
        <v>0</v>
      </c>
      <c r="AR43" s="11">
        <v>500</v>
      </c>
      <c r="AS43" s="11">
        <v>0</v>
      </c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>
        <v>16</v>
      </c>
      <c r="BV43" s="53">
        <v>1600</v>
      </c>
      <c r="BW43" s="53"/>
      <c r="BX43" s="53"/>
      <c r="BY43" s="11">
        <v>6</v>
      </c>
      <c r="BZ43" s="53">
        <v>900</v>
      </c>
      <c r="CA43" s="11">
        <v>0</v>
      </c>
      <c r="CB43" s="53">
        <v>0</v>
      </c>
      <c r="CC43" s="53"/>
      <c r="CD43" s="53"/>
      <c r="CE43" s="11">
        <v>0</v>
      </c>
      <c r="CF43" s="53">
        <v>0</v>
      </c>
      <c r="CG43" s="43">
        <v>8125</v>
      </c>
      <c r="CH43" s="11">
        <v>9735.92</v>
      </c>
      <c r="CI43" s="94">
        <v>0</v>
      </c>
      <c r="CJ43" s="11">
        <v>0</v>
      </c>
      <c r="CK43" s="13"/>
      <c r="CL43" s="13">
        <v>28660.92</v>
      </c>
      <c r="CM43" s="11"/>
      <c r="CN43" s="11"/>
      <c r="CO43" s="14">
        <v>324</v>
      </c>
      <c r="CP43" s="14"/>
      <c r="CQ43" s="14"/>
      <c r="CR43" s="94"/>
      <c r="CS43" s="94"/>
      <c r="CT43" s="11">
        <v>0</v>
      </c>
      <c r="CU43" s="11"/>
      <c r="CV43" s="11">
        <v>0</v>
      </c>
      <c r="CW43" s="11"/>
      <c r="CX43" s="11"/>
      <c r="CY43" s="11">
        <v>0</v>
      </c>
      <c r="CZ43" s="95">
        <f t="shared" si="4"/>
        <v>324</v>
      </c>
      <c r="DA43" s="13">
        <f t="shared" si="5"/>
        <v>28336.92</v>
      </c>
      <c r="DB43" s="61">
        <v>28933.72</v>
      </c>
      <c r="DC43" s="61">
        <v>28660.92</v>
      </c>
      <c r="DD43" s="61"/>
      <c r="DE43" s="61"/>
      <c r="DF43" s="61"/>
      <c r="DG43" s="61"/>
      <c r="DH43" s="61"/>
      <c r="DI43" s="61"/>
      <c r="DJ43" s="61"/>
      <c r="DK43" s="61"/>
      <c r="DL43" s="61"/>
      <c r="DM43" s="62"/>
      <c r="DN43" s="15">
        <v>57594.64</v>
      </c>
      <c r="DO43" s="16">
        <v>-31750.68</v>
      </c>
      <c r="DP43" s="17">
        <v>0</v>
      </c>
      <c r="DQ43" s="61">
        <v>224</v>
      </c>
      <c r="DR43" s="61">
        <v>324</v>
      </c>
      <c r="DS43" s="61"/>
      <c r="DT43" s="61"/>
      <c r="DU43" s="61"/>
      <c r="DV43" s="61"/>
      <c r="DW43" s="61"/>
      <c r="DX43" s="61"/>
      <c r="DY43" s="61"/>
      <c r="DZ43" s="61"/>
      <c r="EA43" s="61"/>
      <c r="EB43" s="14"/>
      <c r="EC43" s="15">
        <f t="shared" si="6"/>
        <v>548</v>
      </c>
      <c r="ED43" s="11">
        <f>CP43</f>
        <v>0</v>
      </c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14"/>
      <c r="EP43" s="15">
        <f t="shared" si="7"/>
        <v>0</v>
      </c>
    </row>
    <row r="44" spans="1:146" s="18" customFormat="1" ht="35" customHeight="1">
      <c r="A44" s="4">
        <v>26</v>
      </c>
      <c r="B44" s="59" t="s">
        <v>415</v>
      </c>
      <c r="C44" s="219" t="s">
        <v>248</v>
      </c>
      <c r="D44" s="7">
        <v>1449900486880</v>
      </c>
      <c r="E44" s="7" t="s">
        <v>249</v>
      </c>
      <c r="F44" s="8" t="s">
        <v>34</v>
      </c>
      <c r="G44" s="9">
        <v>44964</v>
      </c>
      <c r="H44" s="10" t="s">
        <v>76</v>
      </c>
      <c r="I44" s="11">
        <v>400</v>
      </c>
      <c r="J44" s="11">
        <v>25</v>
      </c>
      <c r="K44" s="11">
        <v>10000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8</v>
      </c>
      <c r="W44" s="11">
        <v>400</v>
      </c>
      <c r="X44" s="11">
        <v>0</v>
      </c>
      <c r="Y44" s="11">
        <v>0</v>
      </c>
      <c r="Z44" s="11">
        <v>0</v>
      </c>
      <c r="AA44" s="11">
        <v>0</v>
      </c>
      <c r="AB44" s="11">
        <v>8</v>
      </c>
      <c r="AC44" s="11">
        <v>0</v>
      </c>
      <c r="AD44" s="12">
        <v>0</v>
      </c>
      <c r="AE44" s="11">
        <v>400</v>
      </c>
      <c r="AF44" s="11">
        <v>10800</v>
      </c>
      <c r="AG44" s="11">
        <v>1300</v>
      </c>
      <c r="AH44" s="11">
        <v>1890</v>
      </c>
      <c r="AI44" s="11">
        <v>1215</v>
      </c>
      <c r="AJ44" s="11">
        <v>1200</v>
      </c>
      <c r="AK44" s="11">
        <v>1890</v>
      </c>
      <c r="AL44" s="94">
        <v>0</v>
      </c>
      <c r="AM44" s="11">
        <v>940.92</v>
      </c>
      <c r="AN44" s="11">
        <v>0</v>
      </c>
      <c r="AO44" s="11">
        <v>0</v>
      </c>
      <c r="AP44" s="11">
        <v>0</v>
      </c>
      <c r="AQ44" s="11">
        <v>0</v>
      </c>
      <c r="AR44" s="11">
        <v>500</v>
      </c>
      <c r="AS44" s="11">
        <v>0</v>
      </c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>
        <v>16</v>
      </c>
      <c r="BV44" s="53">
        <v>1600</v>
      </c>
      <c r="BW44" s="53"/>
      <c r="BX44" s="53"/>
      <c r="BY44" s="11">
        <v>6</v>
      </c>
      <c r="BZ44" s="53">
        <v>900</v>
      </c>
      <c r="CA44" s="11">
        <v>0</v>
      </c>
      <c r="CB44" s="53">
        <v>0</v>
      </c>
      <c r="CC44" s="53"/>
      <c r="CD44" s="53"/>
      <c r="CE44" s="11">
        <v>0</v>
      </c>
      <c r="CF44" s="53">
        <v>0</v>
      </c>
      <c r="CG44" s="43">
        <v>8125</v>
      </c>
      <c r="CH44" s="11">
        <v>9735.92</v>
      </c>
      <c r="CI44" s="94">
        <v>0</v>
      </c>
      <c r="CJ44" s="11">
        <v>0</v>
      </c>
      <c r="CK44" s="13"/>
      <c r="CL44" s="13">
        <v>28660.92</v>
      </c>
      <c r="CM44" s="11"/>
      <c r="CN44" s="11"/>
      <c r="CO44" s="14">
        <v>324</v>
      </c>
      <c r="CP44" s="14"/>
      <c r="CQ44" s="14"/>
      <c r="CR44" s="94"/>
      <c r="CS44" s="94"/>
      <c r="CT44" s="11">
        <v>0</v>
      </c>
      <c r="CU44" s="11"/>
      <c r="CV44" s="11">
        <v>0</v>
      </c>
      <c r="CW44" s="11"/>
      <c r="CX44" s="11"/>
      <c r="CY44" s="11">
        <v>0</v>
      </c>
      <c r="CZ44" s="95">
        <f t="shared" si="4"/>
        <v>324</v>
      </c>
      <c r="DA44" s="13">
        <f t="shared" si="5"/>
        <v>28336.92</v>
      </c>
      <c r="DB44" s="61">
        <v>28933.72</v>
      </c>
      <c r="DC44" s="61">
        <v>28660.92</v>
      </c>
      <c r="DD44" s="61"/>
      <c r="DE44" s="61"/>
      <c r="DF44" s="61"/>
      <c r="DG44" s="61"/>
      <c r="DH44" s="61"/>
      <c r="DI44" s="61"/>
      <c r="DJ44" s="61"/>
      <c r="DK44" s="61"/>
      <c r="DL44" s="61"/>
      <c r="DM44" s="62"/>
      <c r="DN44" s="15">
        <v>57594.64</v>
      </c>
      <c r="DO44" s="16">
        <v>-31750.68</v>
      </c>
      <c r="DP44" s="17">
        <v>0</v>
      </c>
      <c r="DQ44" s="61">
        <v>224</v>
      </c>
      <c r="DR44" s="61">
        <v>324</v>
      </c>
      <c r="DS44" s="61"/>
      <c r="DT44" s="61"/>
      <c r="DU44" s="61"/>
      <c r="DV44" s="61"/>
      <c r="DW44" s="61"/>
      <c r="DX44" s="61"/>
      <c r="DY44" s="61"/>
      <c r="DZ44" s="61"/>
      <c r="EA44" s="61"/>
      <c r="EB44" s="14"/>
      <c r="EC44" s="15">
        <f t="shared" si="6"/>
        <v>548</v>
      </c>
      <c r="ED44" s="11">
        <f>CP44</f>
        <v>0</v>
      </c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14"/>
      <c r="EP44" s="15">
        <f t="shared" si="7"/>
        <v>0</v>
      </c>
    </row>
    <row r="45" spans="1:146" s="18" customFormat="1" ht="35" customHeight="1">
      <c r="A45" s="4">
        <v>27</v>
      </c>
      <c r="B45" s="59" t="s">
        <v>416</v>
      </c>
      <c r="C45" s="219" t="s">
        <v>250</v>
      </c>
      <c r="D45" s="7">
        <v>1449900486881</v>
      </c>
      <c r="E45" s="7" t="s">
        <v>251</v>
      </c>
      <c r="F45" s="8" t="s">
        <v>34</v>
      </c>
      <c r="G45" s="9">
        <v>44965</v>
      </c>
      <c r="H45" s="10" t="s">
        <v>76</v>
      </c>
      <c r="I45" s="11">
        <v>400</v>
      </c>
      <c r="J45" s="11">
        <v>25</v>
      </c>
      <c r="K45" s="11">
        <v>10000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8</v>
      </c>
      <c r="W45" s="11">
        <v>400</v>
      </c>
      <c r="X45" s="11">
        <v>0</v>
      </c>
      <c r="Y45" s="11">
        <v>0</v>
      </c>
      <c r="Z45" s="11">
        <v>0</v>
      </c>
      <c r="AA45" s="11">
        <v>0</v>
      </c>
      <c r="AB45" s="11">
        <v>8</v>
      </c>
      <c r="AC45" s="11">
        <v>0</v>
      </c>
      <c r="AD45" s="12">
        <v>0</v>
      </c>
      <c r="AE45" s="11">
        <v>400</v>
      </c>
      <c r="AF45" s="11">
        <v>10800</v>
      </c>
      <c r="AG45" s="11">
        <v>1300</v>
      </c>
      <c r="AH45" s="11">
        <v>1890</v>
      </c>
      <c r="AI45" s="11">
        <v>1215</v>
      </c>
      <c r="AJ45" s="11">
        <v>1200</v>
      </c>
      <c r="AK45" s="11">
        <v>1890</v>
      </c>
      <c r="AL45" s="94">
        <v>0</v>
      </c>
      <c r="AM45" s="11">
        <v>940.92</v>
      </c>
      <c r="AN45" s="11">
        <v>0</v>
      </c>
      <c r="AO45" s="11">
        <v>0</v>
      </c>
      <c r="AP45" s="11">
        <v>0</v>
      </c>
      <c r="AQ45" s="11">
        <v>0</v>
      </c>
      <c r="AR45" s="11">
        <v>500</v>
      </c>
      <c r="AS45" s="11">
        <v>0</v>
      </c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>
        <v>16</v>
      </c>
      <c r="BV45" s="53">
        <v>1600</v>
      </c>
      <c r="BW45" s="53"/>
      <c r="BX45" s="53"/>
      <c r="BY45" s="11">
        <v>6</v>
      </c>
      <c r="BZ45" s="53">
        <v>900</v>
      </c>
      <c r="CA45" s="11">
        <v>0</v>
      </c>
      <c r="CB45" s="53">
        <v>0</v>
      </c>
      <c r="CC45" s="53"/>
      <c r="CD45" s="53"/>
      <c r="CE45" s="11">
        <v>0</v>
      </c>
      <c r="CF45" s="53">
        <v>0</v>
      </c>
      <c r="CG45" s="43">
        <v>8125</v>
      </c>
      <c r="CH45" s="11">
        <v>9735.92</v>
      </c>
      <c r="CI45" s="94">
        <v>0</v>
      </c>
      <c r="CJ45" s="11">
        <v>0</v>
      </c>
      <c r="CK45" s="13"/>
      <c r="CL45" s="13">
        <v>28660.92</v>
      </c>
      <c r="CM45" s="11"/>
      <c r="CN45" s="11"/>
      <c r="CO45" s="14">
        <v>324</v>
      </c>
      <c r="CP45" s="14"/>
      <c r="CQ45" s="14"/>
      <c r="CR45" s="94"/>
      <c r="CS45" s="94"/>
      <c r="CT45" s="11">
        <v>0</v>
      </c>
      <c r="CU45" s="11"/>
      <c r="CV45" s="11">
        <v>0</v>
      </c>
      <c r="CW45" s="11"/>
      <c r="CX45" s="11"/>
      <c r="CY45" s="11">
        <v>0</v>
      </c>
      <c r="CZ45" s="95">
        <f t="shared" si="4"/>
        <v>324</v>
      </c>
      <c r="DA45" s="13">
        <f t="shared" si="5"/>
        <v>28336.92</v>
      </c>
      <c r="DB45" s="61">
        <v>28933.72</v>
      </c>
      <c r="DC45" s="61">
        <v>28660.92</v>
      </c>
      <c r="DD45" s="61"/>
      <c r="DE45" s="61"/>
      <c r="DF45" s="61"/>
      <c r="DG45" s="61"/>
      <c r="DH45" s="61"/>
      <c r="DI45" s="61"/>
      <c r="DJ45" s="61"/>
      <c r="DK45" s="61"/>
      <c r="DL45" s="61"/>
      <c r="DM45" s="62"/>
      <c r="DN45" s="15">
        <v>57594.64</v>
      </c>
      <c r="DO45" s="16">
        <v>-31750.68</v>
      </c>
      <c r="DP45" s="17">
        <v>0</v>
      </c>
      <c r="DQ45" s="61">
        <v>224</v>
      </c>
      <c r="DR45" s="61">
        <v>324</v>
      </c>
      <c r="DS45" s="61"/>
      <c r="DT45" s="61"/>
      <c r="DU45" s="61"/>
      <c r="DV45" s="61"/>
      <c r="DW45" s="61"/>
      <c r="DX45" s="61"/>
      <c r="DY45" s="61"/>
      <c r="DZ45" s="61"/>
      <c r="EA45" s="61"/>
      <c r="EB45" s="14"/>
      <c r="EC45" s="15">
        <f t="shared" si="6"/>
        <v>548</v>
      </c>
      <c r="ED45" s="11">
        <f>CP45</f>
        <v>0</v>
      </c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14"/>
      <c r="EP45" s="15">
        <f t="shared" si="7"/>
        <v>0</v>
      </c>
    </row>
    <row r="46" spans="1:146" s="18" customFormat="1" ht="35" customHeight="1">
      <c r="A46" s="4">
        <v>28</v>
      </c>
      <c r="B46" s="59" t="s">
        <v>417</v>
      </c>
      <c r="C46" s="219" t="s">
        <v>252</v>
      </c>
      <c r="D46" s="7">
        <v>1449900486882</v>
      </c>
      <c r="E46" s="7" t="s">
        <v>253</v>
      </c>
      <c r="F46" s="8" t="s">
        <v>34</v>
      </c>
      <c r="G46" s="9">
        <v>44966</v>
      </c>
      <c r="H46" s="10" t="s">
        <v>76</v>
      </c>
      <c r="I46" s="11">
        <v>400</v>
      </c>
      <c r="J46" s="11">
        <v>25</v>
      </c>
      <c r="K46" s="11">
        <v>10000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>
        <v>8</v>
      </c>
      <c r="W46" s="11">
        <v>400</v>
      </c>
      <c r="X46" s="11">
        <v>0</v>
      </c>
      <c r="Y46" s="11">
        <v>0</v>
      </c>
      <c r="Z46" s="11">
        <v>0</v>
      </c>
      <c r="AA46" s="11">
        <v>0</v>
      </c>
      <c r="AB46" s="11">
        <v>8</v>
      </c>
      <c r="AC46" s="11">
        <v>0</v>
      </c>
      <c r="AD46" s="12">
        <v>0</v>
      </c>
      <c r="AE46" s="11">
        <v>400</v>
      </c>
      <c r="AF46" s="11">
        <v>10800</v>
      </c>
      <c r="AG46" s="11">
        <v>1300</v>
      </c>
      <c r="AH46" s="11">
        <v>1890</v>
      </c>
      <c r="AI46" s="11">
        <v>1215</v>
      </c>
      <c r="AJ46" s="11">
        <v>1200</v>
      </c>
      <c r="AK46" s="11">
        <v>1890</v>
      </c>
      <c r="AL46" s="94">
        <v>0</v>
      </c>
      <c r="AM46" s="11">
        <v>940.92</v>
      </c>
      <c r="AN46" s="11">
        <v>0</v>
      </c>
      <c r="AO46" s="11">
        <v>0</v>
      </c>
      <c r="AP46" s="11">
        <v>0</v>
      </c>
      <c r="AQ46" s="11">
        <v>0</v>
      </c>
      <c r="AR46" s="11">
        <v>500</v>
      </c>
      <c r="AS46" s="11">
        <v>0</v>
      </c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>
        <v>16</v>
      </c>
      <c r="BV46" s="53">
        <v>1600</v>
      </c>
      <c r="BW46" s="53"/>
      <c r="BX46" s="53"/>
      <c r="BY46" s="11">
        <v>6</v>
      </c>
      <c r="BZ46" s="53">
        <v>900</v>
      </c>
      <c r="CA46" s="11">
        <v>0</v>
      </c>
      <c r="CB46" s="53">
        <v>0</v>
      </c>
      <c r="CC46" s="53"/>
      <c r="CD46" s="53"/>
      <c r="CE46" s="11">
        <v>0</v>
      </c>
      <c r="CF46" s="53">
        <v>0</v>
      </c>
      <c r="CG46" s="43">
        <v>8125</v>
      </c>
      <c r="CH46" s="11">
        <v>9735.92</v>
      </c>
      <c r="CI46" s="94">
        <v>0</v>
      </c>
      <c r="CJ46" s="11">
        <v>0</v>
      </c>
      <c r="CK46" s="13"/>
      <c r="CL46" s="13">
        <v>28660.92</v>
      </c>
      <c r="CM46" s="11"/>
      <c r="CN46" s="11"/>
      <c r="CO46" s="14">
        <v>324</v>
      </c>
      <c r="CP46" s="14"/>
      <c r="CQ46" s="14"/>
      <c r="CR46" s="94"/>
      <c r="CS46" s="94"/>
      <c r="CT46" s="11">
        <v>0</v>
      </c>
      <c r="CU46" s="11"/>
      <c r="CV46" s="11">
        <v>0</v>
      </c>
      <c r="CW46" s="11"/>
      <c r="CX46" s="11"/>
      <c r="CY46" s="11">
        <v>0</v>
      </c>
      <c r="CZ46" s="95">
        <f t="shared" si="4"/>
        <v>324</v>
      </c>
      <c r="DA46" s="13">
        <f t="shared" si="5"/>
        <v>28336.92</v>
      </c>
      <c r="DB46" s="61">
        <v>28933.72</v>
      </c>
      <c r="DC46" s="61">
        <v>28660.92</v>
      </c>
      <c r="DD46" s="61"/>
      <c r="DE46" s="61"/>
      <c r="DF46" s="61"/>
      <c r="DG46" s="61"/>
      <c r="DH46" s="61"/>
      <c r="DI46" s="61"/>
      <c r="DJ46" s="61"/>
      <c r="DK46" s="61"/>
      <c r="DL46" s="61"/>
      <c r="DM46" s="62"/>
      <c r="DN46" s="15">
        <v>57594.64</v>
      </c>
      <c r="DO46" s="16">
        <v>-31750.68</v>
      </c>
      <c r="DP46" s="17">
        <v>0</v>
      </c>
      <c r="DQ46" s="61">
        <v>224</v>
      </c>
      <c r="DR46" s="61">
        <v>324</v>
      </c>
      <c r="DS46" s="61"/>
      <c r="DT46" s="61"/>
      <c r="DU46" s="61"/>
      <c r="DV46" s="61"/>
      <c r="DW46" s="61"/>
      <c r="DX46" s="61"/>
      <c r="DY46" s="61"/>
      <c r="DZ46" s="61"/>
      <c r="EA46" s="61"/>
      <c r="EB46" s="14"/>
      <c r="EC46" s="15">
        <f t="shared" si="6"/>
        <v>548</v>
      </c>
      <c r="ED46" s="11">
        <f>CP46</f>
        <v>0</v>
      </c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14"/>
      <c r="EP46" s="15">
        <f t="shared" si="7"/>
        <v>0</v>
      </c>
    </row>
    <row r="47" spans="1:146" s="18" customFormat="1" ht="35" customHeight="1">
      <c r="A47" s="4">
        <v>29</v>
      </c>
      <c r="B47" s="59" t="s">
        <v>418</v>
      </c>
      <c r="C47" s="219" t="s">
        <v>254</v>
      </c>
      <c r="D47" s="7">
        <v>1449900486883</v>
      </c>
      <c r="E47" s="7" t="s">
        <v>255</v>
      </c>
      <c r="F47" s="8" t="s">
        <v>34</v>
      </c>
      <c r="G47" s="9">
        <v>44967</v>
      </c>
      <c r="H47" s="10" t="s">
        <v>76</v>
      </c>
      <c r="I47" s="11">
        <v>400</v>
      </c>
      <c r="J47" s="11">
        <v>25</v>
      </c>
      <c r="K47" s="11">
        <v>10000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>
        <v>8</v>
      </c>
      <c r="W47" s="11">
        <v>400</v>
      </c>
      <c r="X47" s="11">
        <v>0</v>
      </c>
      <c r="Y47" s="11">
        <v>0</v>
      </c>
      <c r="Z47" s="11">
        <v>0</v>
      </c>
      <c r="AA47" s="11">
        <v>0</v>
      </c>
      <c r="AB47" s="11">
        <v>8</v>
      </c>
      <c r="AC47" s="11">
        <v>0</v>
      </c>
      <c r="AD47" s="12">
        <v>0</v>
      </c>
      <c r="AE47" s="11">
        <v>400</v>
      </c>
      <c r="AF47" s="11">
        <v>10800</v>
      </c>
      <c r="AG47" s="11">
        <v>1300</v>
      </c>
      <c r="AH47" s="11">
        <v>1890</v>
      </c>
      <c r="AI47" s="11">
        <v>1215</v>
      </c>
      <c r="AJ47" s="11">
        <v>1200</v>
      </c>
      <c r="AK47" s="11">
        <v>1890</v>
      </c>
      <c r="AL47" s="94">
        <v>0</v>
      </c>
      <c r="AM47" s="11">
        <v>940.92</v>
      </c>
      <c r="AN47" s="11">
        <v>0</v>
      </c>
      <c r="AO47" s="11">
        <v>0</v>
      </c>
      <c r="AP47" s="11">
        <v>0</v>
      </c>
      <c r="AQ47" s="11">
        <v>0</v>
      </c>
      <c r="AR47" s="11">
        <v>500</v>
      </c>
      <c r="AS47" s="11">
        <v>0</v>
      </c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>
        <v>16</v>
      </c>
      <c r="BV47" s="53">
        <v>1600</v>
      </c>
      <c r="BW47" s="53"/>
      <c r="BX47" s="53"/>
      <c r="BY47" s="11">
        <v>6</v>
      </c>
      <c r="BZ47" s="53">
        <v>900</v>
      </c>
      <c r="CA47" s="11">
        <v>0</v>
      </c>
      <c r="CB47" s="53">
        <v>0</v>
      </c>
      <c r="CC47" s="53"/>
      <c r="CD47" s="53"/>
      <c r="CE47" s="11">
        <v>0</v>
      </c>
      <c r="CF47" s="53">
        <v>0</v>
      </c>
      <c r="CG47" s="43">
        <v>8125</v>
      </c>
      <c r="CH47" s="11">
        <v>9735.92</v>
      </c>
      <c r="CI47" s="94">
        <v>0</v>
      </c>
      <c r="CJ47" s="11">
        <v>0</v>
      </c>
      <c r="CK47" s="13"/>
      <c r="CL47" s="13">
        <v>28660.92</v>
      </c>
      <c r="CM47" s="11"/>
      <c r="CN47" s="11"/>
      <c r="CO47" s="14">
        <v>324</v>
      </c>
      <c r="CP47" s="14"/>
      <c r="CQ47" s="14"/>
      <c r="CR47" s="94"/>
      <c r="CS47" s="94"/>
      <c r="CT47" s="11">
        <v>0</v>
      </c>
      <c r="CU47" s="11"/>
      <c r="CV47" s="11">
        <v>0</v>
      </c>
      <c r="CW47" s="11"/>
      <c r="CX47" s="11"/>
      <c r="CY47" s="11">
        <v>0</v>
      </c>
      <c r="CZ47" s="95">
        <f t="shared" si="4"/>
        <v>324</v>
      </c>
      <c r="DA47" s="13">
        <f t="shared" si="5"/>
        <v>28336.92</v>
      </c>
      <c r="DB47" s="61">
        <v>28933.72</v>
      </c>
      <c r="DC47" s="61">
        <v>28660.92</v>
      </c>
      <c r="DD47" s="61"/>
      <c r="DE47" s="61"/>
      <c r="DF47" s="61"/>
      <c r="DG47" s="61"/>
      <c r="DH47" s="61"/>
      <c r="DI47" s="61"/>
      <c r="DJ47" s="61"/>
      <c r="DK47" s="61"/>
      <c r="DL47" s="61"/>
      <c r="DM47" s="62"/>
      <c r="DN47" s="15">
        <v>57594.64</v>
      </c>
      <c r="DO47" s="16">
        <v>-31750.68</v>
      </c>
      <c r="DP47" s="17">
        <v>0</v>
      </c>
      <c r="DQ47" s="61">
        <v>224</v>
      </c>
      <c r="DR47" s="61">
        <v>324</v>
      </c>
      <c r="DS47" s="61"/>
      <c r="DT47" s="61"/>
      <c r="DU47" s="61"/>
      <c r="DV47" s="61"/>
      <c r="DW47" s="61"/>
      <c r="DX47" s="61"/>
      <c r="DY47" s="61"/>
      <c r="DZ47" s="61"/>
      <c r="EA47" s="61"/>
      <c r="EB47" s="14"/>
      <c r="EC47" s="15">
        <f t="shared" si="6"/>
        <v>548</v>
      </c>
      <c r="ED47" s="11">
        <f>CP47</f>
        <v>0</v>
      </c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14"/>
      <c r="EP47" s="15">
        <f t="shared" si="7"/>
        <v>0</v>
      </c>
    </row>
    <row r="48" spans="1:146" s="18" customFormat="1" ht="35" customHeight="1">
      <c r="A48" s="4">
        <v>30</v>
      </c>
      <c r="B48" s="59" t="s">
        <v>419</v>
      </c>
      <c r="C48" s="219" t="s">
        <v>256</v>
      </c>
      <c r="D48" s="7">
        <v>1449900486884</v>
      </c>
      <c r="E48" s="7" t="s">
        <v>257</v>
      </c>
      <c r="F48" s="8" t="s">
        <v>34</v>
      </c>
      <c r="G48" s="9">
        <v>44968</v>
      </c>
      <c r="H48" s="10" t="s">
        <v>76</v>
      </c>
      <c r="I48" s="11">
        <v>400</v>
      </c>
      <c r="J48" s="11">
        <v>25</v>
      </c>
      <c r="K48" s="11">
        <v>10000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>
        <v>8</v>
      </c>
      <c r="W48" s="11">
        <v>400</v>
      </c>
      <c r="X48" s="11">
        <v>0</v>
      </c>
      <c r="Y48" s="11">
        <v>0</v>
      </c>
      <c r="Z48" s="11">
        <v>0</v>
      </c>
      <c r="AA48" s="11">
        <v>0</v>
      </c>
      <c r="AB48" s="11">
        <v>8</v>
      </c>
      <c r="AC48" s="11">
        <v>0</v>
      </c>
      <c r="AD48" s="12">
        <v>0</v>
      </c>
      <c r="AE48" s="11">
        <v>400</v>
      </c>
      <c r="AF48" s="11">
        <v>10800</v>
      </c>
      <c r="AG48" s="11">
        <v>1300</v>
      </c>
      <c r="AH48" s="11">
        <v>1890</v>
      </c>
      <c r="AI48" s="11">
        <v>1215</v>
      </c>
      <c r="AJ48" s="11">
        <v>1200</v>
      </c>
      <c r="AK48" s="11">
        <v>1890</v>
      </c>
      <c r="AL48" s="94">
        <v>0</v>
      </c>
      <c r="AM48" s="11">
        <v>940.92</v>
      </c>
      <c r="AN48" s="11">
        <v>0</v>
      </c>
      <c r="AO48" s="11">
        <v>0</v>
      </c>
      <c r="AP48" s="11">
        <v>0</v>
      </c>
      <c r="AQ48" s="11">
        <v>0</v>
      </c>
      <c r="AR48" s="11">
        <v>500</v>
      </c>
      <c r="AS48" s="11">
        <v>0</v>
      </c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>
        <v>16</v>
      </c>
      <c r="BV48" s="53">
        <v>1600</v>
      </c>
      <c r="BW48" s="53"/>
      <c r="BX48" s="53"/>
      <c r="BY48" s="11">
        <v>6</v>
      </c>
      <c r="BZ48" s="53">
        <v>900</v>
      </c>
      <c r="CA48" s="11">
        <v>0</v>
      </c>
      <c r="CB48" s="53">
        <v>0</v>
      </c>
      <c r="CC48" s="53"/>
      <c r="CD48" s="53"/>
      <c r="CE48" s="11">
        <v>0</v>
      </c>
      <c r="CF48" s="53">
        <v>0</v>
      </c>
      <c r="CG48" s="43">
        <v>8125</v>
      </c>
      <c r="CH48" s="11">
        <v>9735.92</v>
      </c>
      <c r="CI48" s="94">
        <v>0</v>
      </c>
      <c r="CJ48" s="11">
        <v>0</v>
      </c>
      <c r="CK48" s="13"/>
      <c r="CL48" s="13">
        <v>28660.92</v>
      </c>
      <c r="CM48" s="11"/>
      <c r="CN48" s="11"/>
      <c r="CO48" s="14">
        <v>324</v>
      </c>
      <c r="CP48" s="14"/>
      <c r="CQ48" s="14"/>
      <c r="CR48" s="94"/>
      <c r="CS48" s="94"/>
      <c r="CT48" s="11">
        <v>0</v>
      </c>
      <c r="CU48" s="11"/>
      <c r="CV48" s="11">
        <v>0</v>
      </c>
      <c r="CW48" s="11"/>
      <c r="CX48" s="11"/>
      <c r="CY48" s="11">
        <v>0</v>
      </c>
      <c r="CZ48" s="95">
        <f t="shared" si="4"/>
        <v>324</v>
      </c>
      <c r="DA48" s="13">
        <f t="shared" si="5"/>
        <v>28336.92</v>
      </c>
      <c r="DB48" s="61">
        <v>28933.72</v>
      </c>
      <c r="DC48" s="61">
        <v>28660.92</v>
      </c>
      <c r="DD48" s="61"/>
      <c r="DE48" s="61"/>
      <c r="DF48" s="61"/>
      <c r="DG48" s="61"/>
      <c r="DH48" s="61"/>
      <c r="DI48" s="61"/>
      <c r="DJ48" s="61"/>
      <c r="DK48" s="61"/>
      <c r="DL48" s="61"/>
      <c r="DM48" s="62"/>
      <c r="DN48" s="15">
        <v>57594.64</v>
      </c>
      <c r="DO48" s="16">
        <v>-31750.68</v>
      </c>
      <c r="DP48" s="17">
        <v>0</v>
      </c>
      <c r="DQ48" s="61">
        <v>224</v>
      </c>
      <c r="DR48" s="61">
        <v>324</v>
      </c>
      <c r="DS48" s="61"/>
      <c r="DT48" s="61"/>
      <c r="DU48" s="61"/>
      <c r="DV48" s="61"/>
      <c r="DW48" s="61"/>
      <c r="DX48" s="61"/>
      <c r="DY48" s="61"/>
      <c r="DZ48" s="61"/>
      <c r="EA48" s="61"/>
      <c r="EB48" s="14"/>
      <c r="EC48" s="15">
        <f t="shared" si="6"/>
        <v>548</v>
      </c>
      <c r="ED48" s="11">
        <f>CP48</f>
        <v>0</v>
      </c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14"/>
      <c r="EP48" s="15">
        <f t="shared" si="7"/>
        <v>0</v>
      </c>
    </row>
    <row r="49" spans="1:146" s="18" customFormat="1" ht="35" customHeight="1">
      <c r="A49" s="4">
        <v>31</v>
      </c>
      <c r="B49" s="59" t="s">
        <v>420</v>
      </c>
      <c r="C49" s="219" t="s">
        <v>258</v>
      </c>
      <c r="D49" s="7">
        <v>1449900486885</v>
      </c>
      <c r="E49" s="7" t="s">
        <v>259</v>
      </c>
      <c r="F49" s="8" t="s">
        <v>34</v>
      </c>
      <c r="G49" s="9">
        <v>44969</v>
      </c>
      <c r="H49" s="10" t="s">
        <v>76</v>
      </c>
      <c r="I49" s="11">
        <v>400</v>
      </c>
      <c r="J49" s="11">
        <v>25</v>
      </c>
      <c r="K49" s="11">
        <v>10000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>
        <v>8</v>
      </c>
      <c r="W49" s="11">
        <v>400</v>
      </c>
      <c r="X49" s="11">
        <v>0</v>
      </c>
      <c r="Y49" s="11">
        <v>0</v>
      </c>
      <c r="Z49" s="11">
        <v>0</v>
      </c>
      <c r="AA49" s="11">
        <v>0</v>
      </c>
      <c r="AB49" s="11">
        <v>8</v>
      </c>
      <c r="AC49" s="11">
        <v>0</v>
      </c>
      <c r="AD49" s="12">
        <v>0</v>
      </c>
      <c r="AE49" s="11">
        <v>400</v>
      </c>
      <c r="AF49" s="11">
        <v>10800</v>
      </c>
      <c r="AG49" s="11">
        <v>1300</v>
      </c>
      <c r="AH49" s="11">
        <v>1890</v>
      </c>
      <c r="AI49" s="11">
        <v>1215</v>
      </c>
      <c r="AJ49" s="11">
        <v>1200</v>
      </c>
      <c r="AK49" s="11">
        <v>1890</v>
      </c>
      <c r="AL49" s="94">
        <v>0</v>
      </c>
      <c r="AM49" s="11">
        <v>940.92</v>
      </c>
      <c r="AN49" s="11">
        <v>0</v>
      </c>
      <c r="AO49" s="11">
        <v>0</v>
      </c>
      <c r="AP49" s="11">
        <v>0</v>
      </c>
      <c r="AQ49" s="11">
        <v>0</v>
      </c>
      <c r="AR49" s="11">
        <v>500</v>
      </c>
      <c r="AS49" s="11">
        <v>0</v>
      </c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>
        <v>16</v>
      </c>
      <c r="BV49" s="53">
        <v>1600</v>
      </c>
      <c r="BW49" s="53"/>
      <c r="BX49" s="53"/>
      <c r="BY49" s="11">
        <v>6</v>
      </c>
      <c r="BZ49" s="53">
        <v>900</v>
      </c>
      <c r="CA49" s="11">
        <v>0</v>
      </c>
      <c r="CB49" s="53">
        <v>0</v>
      </c>
      <c r="CC49" s="53"/>
      <c r="CD49" s="53"/>
      <c r="CE49" s="11">
        <v>0</v>
      </c>
      <c r="CF49" s="53">
        <v>0</v>
      </c>
      <c r="CG49" s="43">
        <v>8125</v>
      </c>
      <c r="CH49" s="11">
        <v>9735.92</v>
      </c>
      <c r="CI49" s="94">
        <v>0</v>
      </c>
      <c r="CJ49" s="11">
        <v>0</v>
      </c>
      <c r="CK49" s="13"/>
      <c r="CL49" s="13">
        <v>28660.92</v>
      </c>
      <c r="CM49" s="11"/>
      <c r="CN49" s="11"/>
      <c r="CO49" s="14">
        <v>324</v>
      </c>
      <c r="CP49" s="14"/>
      <c r="CQ49" s="14"/>
      <c r="CR49" s="94"/>
      <c r="CS49" s="94"/>
      <c r="CT49" s="11">
        <v>0</v>
      </c>
      <c r="CU49" s="11"/>
      <c r="CV49" s="11">
        <v>0</v>
      </c>
      <c r="CW49" s="11"/>
      <c r="CX49" s="11"/>
      <c r="CY49" s="11">
        <v>0</v>
      </c>
      <c r="CZ49" s="95">
        <f t="shared" si="4"/>
        <v>324</v>
      </c>
      <c r="DA49" s="13">
        <f t="shared" si="5"/>
        <v>28336.92</v>
      </c>
      <c r="DB49" s="61">
        <v>28933.72</v>
      </c>
      <c r="DC49" s="61">
        <v>28660.92</v>
      </c>
      <c r="DD49" s="61"/>
      <c r="DE49" s="61"/>
      <c r="DF49" s="61"/>
      <c r="DG49" s="61"/>
      <c r="DH49" s="61"/>
      <c r="DI49" s="61"/>
      <c r="DJ49" s="61"/>
      <c r="DK49" s="61"/>
      <c r="DL49" s="61"/>
      <c r="DM49" s="62"/>
      <c r="DN49" s="15">
        <v>57594.64</v>
      </c>
      <c r="DO49" s="16">
        <v>-31750.68</v>
      </c>
      <c r="DP49" s="17">
        <v>0</v>
      </c>
      <c r="DQ49" s="61">
        <v>224</v>
      </c>
      <c r="DR49" s="61">
        <v>324</v>
      </c>
      <c r="DS49" s="61"/>
      <c r="DT49" s="61"/>
      <c r="DU49" s="61"/>
      <c r="DV49" s="61"/>
      <c r="DW49" s="61"/>
      <c r="DX49" s="61"/>
      <c r="DY49" s="61"/>
      <c r="DZ49" s="61"/>
      <c r="EA49" s="61"/>
      <c r="EB49" s="14"/>
      <c r="EC49" s="15">
        <f t="shared" si="6"/>
        <v>548</v>
      </c>
      <c r="ED49" s="11">
        <f>CP49</f>
        <v>0</v>
      </c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14"/>
      <c r="EP49" s="15">
        <f t="shared" si="7"/>
        <v>0</v>
      </c>
    </row>
    <row r="50" spans="1:146" s="18" customFormat="1" ht="35" customHeight="1">
      <c r="A50" s="4">
        <v>32</v>
      </c>
      <c r="B50" s="59" t="s">
        <v>421</v>
      </c>
      <c r="C50" s="219" t="s">
        <v>260</v>
      </c>
      <c r="D50" s="7">
        <v>1449900486886</v>
      </c>
      <c r="E50" s="7" t="s">
        <v>261</v>
      </c>
      <c r="F50" s="8" t="s">
        <v>34</v>
      </c>
      <c r="G50" s="9">
        <v>44970</v>
      </c>
      <c r="H50" s="10" t="s">
        <v>76</v>
      </c>
      <c r="I50" s="11">
        <v>400</v>
      </c>
      <c r="J50" s="11">
        <v>25</v>
      </c>
      <c r="K50" s="11">
        <v>10000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>
        <v>8</v>
      </c>
      <c r="W50" s="11">
        <v>400</v>
      </c>
      <c r="X50" s="11">
        <v>0</v>
      </c>
      <c r="Y50" s="11">
        <v>0</v>
      </c>
      <c r="Z50" s="11">
        <v>0</v>
      </c>
      <c r="AA50" s="11">
        <v>0</v>
      </c>
      <c r="AB50" s="11">
        <v>8</v>
      </c>
      <c r="AC50" s="11">
        <v>0</v>
      </c>
      <c r="AD50" s="12">
        <v>0</v>
      </c>
      <c r="AE50" s="11">
        <v>400</v>
      </c>
      <c r="AF50" s="11">
        <v>10800</v>
      </c>
      <c r="AG50" s="11">
        <v>1300</v>
      </c>
      <c r="AH50" s="11">
        <v>1890</v>
      </c>
      <c r="AI50" s="11">
        <v>1215</v>
      </c>
      <c r="AJ50" s="11">
        <v>1200</v>
      </c>
      <c r="AK50" s="11">
        <v>1890</v>
      </c>
      <c r="AL50" s="94">
        <v>0</v>
      </c>
      <c r="AM50" s="11">
        <v>940.92</v>
      </c>
      <c r="AN50" s="11">
        <v>0</v>
      </c>
      <c r="AO50" s="11">
        <v>0</v>
      </c>
      <c r="AP50" s="11">
        <v>0</v>
      </c>
      <c r="AQ50" s="11">
        <v>0</v>
      </c>
      <c r="AR50" s="11">
        <v>500</v>
      </c>
      <c r="AS50" s="11">
        <v>0</v>
      </c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>
        <v>16</v>
      </c>
      <c r="BV50" s="53">
        <v>1600</v>
      </c>
      <c r="BW50" s="53"/>
      <c r="BX50" s="53"/>
      <c r="BY50" s="11">
        <v>6</v>
      </c>
      <c r="BZ50" s="53">
        <v>900</v>
      </c>
      <c r="CA50" s="11">
        <v>0</v>
      </c>
      <c r="CB50" s="53">
        <v>0</v>
      </c>
      <c r="CC50" s="53"/>
      <c r="CD50" s="53"/>
      <c r="CE50" s="11">
        <v>0</v>
      </c>
      <c r="CF50" s="53">
        <v>0</v>
      </c>
      <c r="CG50" s="43">
        <v>8125</v>
      </c>
      <c r="CH50" s="11">
        <v>9735.92</v>
      </c>
      <c r="CI50" s="94">
        <v>0</v>
      </c>
      <c r="CJ50" s="11">
        <v>0</v>
      </c>
      <c r="CK50" s="13"/>
      <c r="CL50" s="13">
        <v>28660.92</v>
      </c>
      <c r="CM50" s="11"/>
      <c r="CN50" s="11"/>
      <c r="CO50" s="14">
        <v>324</v>
      </c>
      <c r="CP50" s="14"/>
      <c r="CQ50" s="14"/>
      <c r="CR50" s="94"/>
      <c r="CS50" s="94"/>
      <c r="CT50" s="11">
        <v>0</v>
      </c>
      <c r="CU50" s="11"/>
      <c r="CV50" s="11">
        <v>0</v>
      </c>
      <c r="CW50" s="11"/>
      <c r="CX50" s="11"/>
      <c r="CY50" s="11">
        <v>0</v>
      </c>
      <c r="CZ50" s="95">
        <f t="shared" si="4"/>
        <v>324</v>
      </c>
      <c r="DA50" s="13">
        <f t="shared" si="5"/>
        <v>28336.92</v>
      </c>
      <c r="DB50" s="61">
        <v>28933.72</v>
      </c>
      <c r="DC50" s="61">
        <v>28660.92</v>
      </c>
      <c r="DD50" s="61"/>
      <c r="DE50" s="61"/>
      <c r="DF50" s="61"/>
      <c r="DG50" s="61"/>
      <c r="DH50" s="61"/>
      <c r="DI50" s="61"/>
      <c r="DJ50" s="61"/>
      <c r="DK50" s="61"/>
      <c r="DL50" s="61"/>
      <c r="DM50" s="62"/>
      <c r="DN50" s="15">
        <v>57594.64</v>
      </c>
      <c r="DO50" s="16">
        <v>-31750.68</v>
      </c>
      <c r="DP50" s="17">
        <v>0</v>
      </c>
      <c r="DQ50" s="61">
        <v>224</v>
      </c>
      <c r="DR50" s="61">
        <v>324</v>
      </c>
      <c r="DS50" s="61"/>
      <c r="DT50" s="61"/>
      <c r="DU50" s="61"/>
      <c r="DV50" s="61"/>
      <c r="DW50" s="61"/>
      <c r="DX50" s="61"/>
      <c r="DY50" s="61"/>
      <c r="DZ50" s="61"/>
      <c r="EA50" s="61"/>
      <c r="EB50" s="14"/>
      <c r="EC50" s="15">
        <f t="shared" si="6"/>
        <v>548</v>
      </c>
      <c r="ED50" s="11">
        <f>CP50</f>
        <v>0</v>
      </c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14"/>
      <c r="EP50" s="15">
        <f t="shared" si="7"/>
        <v>0</v>
      </c>
    </row>
    <row r="51" spans="1:146" s="18" customFormat="1" ht="35" customHeight="1">
      <c r="A51" s="4">
        <v>33</v>
      </c>
      <c r="B51" s="59" t="s">
        <v>422</v>
      </c>
      <c r="C51" s="219" t="s">
        <v>262</v>
      </c>
      <c r="D51" s="7">
        <v>1449900486887</v>
      </c>
      <c r="E51" s="7" t="s">
        <v>263</v>
      </c>
      <c r="F51" s="8" t="s">
        <v>34</v>
      </c>
      <c r="G51" s="9">
        <v>44971</v>
      </c>
      <c r="H51" s="10" t="s">
        <v>76</v>
      </c>
      <c r="I51" s="11">
        <v>400</v>
      </c>
      <c r="J51" s="11">
        <v>25</v>
      </c>
      <c r="K51" s="11">
        <v>10000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8</v>
      </c>
      <c r="W51" s="11">
        <v>400</v>
      </c>
      <c r="X51" s="11">
        <v>0</v>
      </c>
      <c r="Y51" s="11">
        <v>0</v>
      </c>
      <c r="Z51" s="11">
        <v>0</v>
      </c>
      <c r="AA51" s="11">
        <v>0</v>
      </c>
      <c r="AB51" s="11">
        <v>8</v>
      </c>
      <c r="AC51" s="11">
        <v>0</v>
      </c>
      <c r="AD51" s="12">
        <v>0</v>
      </c>
      <c r="AE51" s="11">
        <v>400</v>
      </c>
      <c r="AF51" s="11">
        <v>10800</v>
      </c>
      <c r="AG51" s="11">
        <v>1300</v>
      </c>
      <c r="AH51" s="11">
        <v>1890</v>
      </c>
      <c r="AI51" s="11">
        <v>1215</v>
      </c>
      <c r="AJ51" s="11">
        <v>1200</v>
      </c>
      <c r="AK51" s="11">
        <v>1890</v>
      </c>
      <c r="AL51" s="94">
        <v>0</v>
      </c>
      <c r="AM51" s="11">
        <v>940.92</v>
      </c>
      <c r="AN51" s="11">
        <v>0</v>
      </c>
      <c r="AO51" s="11">
        <v>0</v>
      </c>
      <c r="AP51" s="11">
        <v>0</v>
      </c>
      <c r="AQ51" s="11">
        <v>0</v>
      </c>
      <c r="AR51" s="11">
        <v>500</v>
      </c>
      <c r="AS51" s="11">
        <v>0</v>
      </c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>
        <v>16</v>
      </c>
      <c r="BV51" s="53">
        <v>1600</v>
      </c>
      <c r="BW51" s="53"/>
      <c r="BX51" s="53"/>
      <c r="BY51" s="11">
        <v>6</v>
      </c>
      <c r="BZ51" s="53">
        <v>900</v>
      </c>
      <c r="CA51" s="11">
        <v>0</v>
      </c>
      <c r="CB51" s="53">
        <v>0</v>
      </c>
      <c r="CC51" s="53"/>
      <c r="CD51" s="53"/>
      <c r="CE51" s="11">
        <v>0</v>
      </c>
      <c r="CF51" s="53">
        <v>0</v>
      </c>
      <c r="CG51" s="43">
        <v>8125</v>
      </c>
      <c r="CH51" s="11">
        <v>9735.92</v>
      </c>
      <c r="CI51" s="94">
        <v>0</v>
      </c>
      <c r="CJ51" s="11">
        <v>0</v>
      </c>
      <c r="CK51" s="13"/>
      <c r="CL51" s="13">
        <v>28660.92</v>
      </c>
      <c r="CM51" s="11"/>
      <c r="CN51" s="11"/>
      <c r="CO51" s="14">
        <v>324</v>
      </c>
      <c r="CP51" s="14"/>
      <c r="CQ51" s="14"/>
      <c r="CR51" s="94"/>
      <c r="CS51" s="94"/>
      <c r="CT51" s="11">
        <v>0</v>
      </c>
      <c r="CU51" s="11"/>
      <c r="CV51" s="11">
        <v>0</v>
      </c>
      <c r="CW51" s="11"/>
      <c r="CX51" s="11"/>
      <c r="CY51" s="11">
        <v>0</v>
      </c>
      <c r="CZ51" s="95">
        <f t="shared" si="4"/>
        <v>324</v>
      </c>
      <c r="DA51" s="13">
        <f t="shared" si="5"/>
        <v>28336.92</v>
      </c>
      <c r="DB51" s="61">
        <v>28933.72</v>
      </c>
      <c r="DC51" s="61">
        <v>28660.92</v>
      </c>
      <c r="DD51" s="61"/>
      <c r="DE51" s="61"/>
      <c r="DF51" s="61"/>
      <c r="DG51" s="61"/>
      <c r="DH51" s="61"/>
      <c r="DI51" s="61"/>
      <c r="DJ51" s="61"/>
      <c r="DK51" s="61"/>
      <c r="DL51" s="61"/>
      <c r="DM51" s="62"/>
      <c r="DN51" s="15">
        <v>57594.64</v>
      </c>
      <c r="DO51" s="16">
        <v>-31750.68</v>
      </c>
      <c r="DP51" s="17">
        <v>0</v>
      </c>
      <c r="DQ51" s="61">
        <v>224</v>
      </c>
      <c r="DR51" s="61">
        <v>324</v>
      </c>
      <c r="DS51" s="61"/>
      <c r="DT51" s="61"/>
      <c r="DU51" s="61"/>
      <c r="DV51" s="61"/>
      <c r="DW51" s="61"/>
      <c r="DX51" s="61"/>
      <c r="DY51" s="61"/>
      <c r="DZ51" s="61"/>
      <c r="EA51" s="61"/>
      <c r="EB51" s="14"/>
      <c r="EC51" s="15">
        <f t="shared" si="6"/>
        <v>548</v>
      </c>
      <c r="ED51" s="11">
        <f>CP51</f>
        <v>0</v>
      </c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14"/>
      <c r="EP51" s="15">
        <f t="shared" si="7"/>
        <v>0</v>
      </c>
    </row>
    <row r="52" spans="1:146" s="18" customFormat="1" ht="35" customHeight="1">
      <c r="A52" s="4">
        <v>34</v>
      </c>
      <c r="B52" s="59" t="s">
        <v>423</v>
      </c>
      <c r="C52" s="219" t="s">
        <v>264</v>
      </c>
      <c r="D52" s="7">
        <v>1449900486888</v>
      </c>
      <c r="E52" s="7" t="s">
        <v>265</v>
      </c>
      <c r="F52" s="8" t="s">
        <v>34</v>
      </c>
      <c r="G52" s="9">
        <v>44972</v>
      </c>
      <c r="H52" s="10" t="s">
        <v>76</v>
      </c>
      <c r="I52" s="11">
        <v>400</v>
      </c>
      <c r="J52" s="11">
        <v>25</v>
      </c>
      <c r="K52" s="11">
        <v>10000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8</v>
      </c>
      <c r="W52" s="11">
        <v>400</v>
      </c>
      <c r="X52" s="11">
        <v>0</v>
      </c>
      <c r="Y52" s="11">
        <v>0</v>
      </c>
      <c r="Z52" s="11">
        <v>0</v>
      </c>
      <c r="AA52" s="11">
        <v>0</v>
      </c>
      <c r="AB52" s="11">
        <v>8</v>
      </c>
      <c r="AC52" s="11">
        <v>0</v>
      </c>
      <c r="AD52" s="12">
        <v>0</v>
      </c>
      <c r="AE52" s="11">
        <v>400</v>
      </c>
      <c r="AF52" s="11">
        <v>10800</v>
      </c>
      <c r="AG52" s="11">
        <v>1300</v>
      </c>
      <c r="AH52" s="11">
        <v>1890</v>
      </c>
      <c r="AI52" s="11">
        <v>1215</v>
      </c>
      <c r="AJ52" s="11">
        <v>1200</v>
      </c>
      <c r="AK52" s="11">
        <v>1890</v>
      </c>
      <c r="AL52" s="94">
        <v>0</v>
      </c>
      <c r="AM52" s="11">
        <v>940.92</v>
      </c>
      <c r="AN52" s="11">
        <v>0</v>
      </c>
      <c r="AO52" s="11">
        <v>0</v>
      </c>
      <c r="AP52" s="11">
        <v>0</v>
      </c>
      <c r="AQ52" s="11">
        <v>0</v>
      </c>
      <c r="AR52" s="11">
        <v>500</v>
      </c>
      <c r="AS52" s="11">
        <v>0</v>
      </c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>
        <v>16</v>
      </c>
      <c r="BV52" s="53">
        <v>1600</v>
      </c>
      <c r="BW52" s="53"/>
      <c r="BX52" s="53"/>
      <c r="BY52" s="11">
        <v>6</v>
      </c>
      <c r="BZ52" s="53">
        <v>900</v>
      </c>
      <c r="CA52" s="11">
        <v>0</v>
      </c>
      <c r="CB52" s="53">
        <v>0</v>
      </c>
      <c r="CC52" s="53"/>
      <c r="CD52" s="53"/>
      <c r="CE52" s="11">
        <v>0</v>
      </c>
      <c r="CF52" s="53">
        <v>0</v>
      </c>
      <c r="CG52" s="43">
        <v>8125</v>
      </c>
      <c r="CH52" s="11">
        <v>9735.92</v>
      </c>
      <c r="CI52" s="94">
        <v>0</v>
      </c>
      <c r="CJ52" s="11">
        <v>0</v>
      </c>
      <c r="CK52" s="13"/>
      <c r="CL52" s="13">
        <v>28660.92</v>
      </c>
      <c r="CM52" s="11"/>
      <c r="CN52" s="11"/>
      <c r="CO52" s="14">
        <v>324</v>
      </c>
      <c r="CP52" s="14"/>
      <c r="CQ52" s="14"/>
      <c r="CR52" s="94"/>
      <c r="CS52" s="94"/>
      <c r="CT52" s="11">
        <v>0</v>
      </c>
      <c r="CU52" s="11"/>
      <c r="CV52" s="11">
        <v>0</v>
      </c>
      <c r="CW52" s="11"/>
      <c r="CX52" s="11"/>
      <c r="CY52" s="11">
        <v>0</v>
      </c>
      <c r="CZ52" s="95">
        <f t="shared" si="4"/>
        <v>324</v>
      </c>
      <c r="DA52" s="13">
        <f t="shared" si="5"/>
        <v>28336.92</v>
      </c>
      <c r="DB52" s="61">
        <v>28933.72</v>
      </c>
      <c r="DC52" s="61">
        <v>28660.92</v>
      </c>
      <c r="DD52" s="61"/>
      <c r="DE52" s="61"/>
      <c r="DF52" s="61"/>
      <c r="DG52" s="61"/>
      <c r="DH52" s="61"/>
      <c r="DI52" s="61"/>
      <c r="DJ52" s="61"/>
      <c r="DK52" s="61"/>
      <c r="DL52" s="61"/>
      <c r="DM52" s="62"/>
      <c r="DN52" s="15">
        <v>57594.64</v>
      </c>
      <c r="DO52" s="16">
        <v>-31750.68</v>
      </c>
      <c r="DP52" s="17">
        <v>0</v>
      </c>
      <c r="DQ52" s="61">
        <v>224</v>
      </c>
      <c r="DR52" s="61">
        <v>324</v>
      </c>
      <c r="DS52" s="61"/>
      <c r="DT52" s="61"/>
      <c r="DU52" s="61"/>
      <c r="DV52" s="61"/>
      <c r="DW52" s="61"/>
      <c r="DX52" s="61"/>
      <c r="DY52" s="61"/>
      <c r="DZ52" s="61"/>
      <c r="EA52" s="61"/>
      <c r="EB52" s="14"/>
      <c r="EC52" s="15">
        <f t="shared" si="6"/>
        <v>548</v>
      </c>
      <c r="ED52" s="11">
        <f>CP52</f>
        <v>0</v>
      </c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14"/>
      <c r="EP52" s="15">
        <f t="shared" si="7"/>
        <v>0</v>
      </c>
    </row>
    <row r="53" spans="1:146" s="18" customFormat="1" ht="35" customHeight="1">
      <c r="A53" s="4">
        <v>35</v>
      </c>
      <c r="B53" s="59" t="s">
        <v>424</v>
      </c>
      <c r="C53" s="219" t="s">
        <v>266</v>
      </c>
      <c r="D53" s="7">
        <v>1449900486889</v>
      </c>
      <c r="E53" s="7" t="s">
        <v>267</v>
      </c>
      <c r="F53" s="8" t="s">
        <v>34</v>
      </c>
      <c r="G53" s="9">
        <v>44973</v>
      </c>
      <c r="H53" s="10" t="s">
        <v>76</v>
      </c>
      <c r="I53" s="11">
        <v>400</v>
      </c>
      <c r="J53" s="11">
        <v>25</v>
      </c>
      <c r="K53" s="11">
        <v>10000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>
        <v>8</v>
      </c>
      <c r="W53" s="11">
        <v>400</v>
      </c>
      <c r="X53" s="11">
        <v>0</v>
      </c>
      <c r="Y53" s="11">
        <v>0</v>
      </c>
      <c r="Z53" s="11">
        <v>0</v>
      </c>
      <c r="AA53" s="11">
        <v>0</v>
      </c>
      <c r="AB53" s="11">
        <v>8</v>
      </c>
      <c r="AC53" s="11">
        <v>0</v>
      </c>
      <c r="AD53" s="12">
        <v>0</v>
      </c>
      <c r="AE53" s="11">
        <v>400</v>
      </c>
      <c r="AF53" s="11">
        <v>10800</v>
      </c>
      <c r="AG53" s="11">
        <v>1300</v>
      </c>
      <c r="AH53" s="11">
        <v>1890</v>
      </c>
      <c r="AI53" s="11">
        <v>1215</v>
      </c>
      <c r="AJ53" s="11">
        <v>1200</v>
      </c>
      <c r="AK53" s="11">
        <v>1890</v>
      </c>
      <c r="AL53" s="94">
        <v>0</v>
      </c>
      <c r="AM53" s="11">
        <v>940.92</v>
      </c>
      <c r="AN53" s="11">
        <v>0</v>
      </c>
      <c r="AO53" s="11">
        <v>0</v>
      </c>
      <c r="AP53" s="11">
        <v>0</v>
      </c>
      <c r="AQ53" s="11">
        <v>0</v>
      </c>
      <c r="AR53" s="11">
        <v>500</v>
      </c>
      <c r="AS53" s="11">
        <v>0</v>
      </c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>
        <v>16</v>
      </c>
      <c r="BV53" s="53">
        <v>1600</v>
      </c>
      <c r="BW53" s="53"/>
      <c r="BX53" s="53"/>
      <c r="BY53" s="11">
        <v>6</v>
      </c>
      <c r="BZ53" s="53">
        <v>900</v>
      </c>
      <c r="CA53" s="11">
        <v>0</v>
      </c>
      <c r="CB53" s="53">
        <v>0</v>
      </c>
      <c r="CC53" s="53"/>
      <c r="CD53" s="53"/>
      <c r="CE53" s="11">
        <v>0</v>
      </c>
      <c r="CF53" s="53">
        <v>0</v>
      </c>
      <c r="CG53" s="43">
        <v>8125</v>
      </c>
      <c r="CH53" s="11">
        <v>9735.92</v>
      </c>
      <c r="CI53" s="94">
        <v>0</v>
      </c>
      <c r="CJ53" s="11">
        <v>0</v>
      </c>
      <c r="CK53" s="13"/>
      <c r="CL53" s="13">
        <v>28660.92</v>
      </c>
      <c r="CM53" s="11"/>
      <c r="CN53" s="11"/>
      <c r="CO53" s="14">
        <v>324</v>
      </c>
      <c r="CP53" s="14"/>
      <c r="CQ53" s="14"/>
      <c r="CR53" s="94"/>
      <c r="CS53" s="94"/>
      <c r="CT53" s="11">
        <v>0</v>
      </c>
      <c r="CU53" s="11"/>
      <c r="CV53" s="11">
        <v>0</v>
      </c>
      <c r="CW53" s="11"/>
      <c r="CX53" s="11"/>
      <c r="CY53" s="11">
        <v>0</v>
      </c>
      <c r="CZ53" s="95">
        <f t="shared" si="4"/>
        <v>324</v>
      </c>
      <c r="DA53" s="13">
        <f t="shared" si="5"/>
        <v>28336.92</v>
      </c>
      <c r="DB53" s="61">
        <v>28933.72</v>
      </c>
      <c r="DC53" s="61">
        <v>28660.92</v>
      </c>
      <c r="DD53" s="61"/>
      <c r="DE53" s="61"/>
      <c r="DF53" s="61"/>
      <c r="DG53" s="61"/>
      <c r="DH53" s="61"/>
      <c r="DI53" s="61"/>
      <c r="DJ53" s="61"/>
      <c r="DK53" s="61"/>
      <c r="DL53" s="61"/>
      <c r="DM53" s="62"/>
      <c r="DN53" s="15">
        <v>57594.64</v>
      </c>
      <c r="DO53" s="16">
        <v>-31750.68</v>
      </c>
      <c r="DP53" s="17">
        <v>0</v>
      </c>
      <c r="DQ53" s="61">
        <v>224</v>
      </c>
      <c r="DR53" s="61">
        <v>324</v>
      </c>
      <c r="DS53" s="61"/>
      <c r="DT53" s="61"/>
      <c r="DU53" s="61"/>
      <c r="DV53" s="61"/>
      <c r="DW53" s="61"/>
      <c r="DX53" s="61"/>
      <c r="DY53" s="61"/>
      <c r="DZ53" s="61"/>
      <c r="EA53" s="61"/>
      <c r="EB53" s="14"/>
      <c r="EC53" s="15">
        <f t="shared" si="6"/>
        <v>548</v>
      </c>
      <c r="ED53" s="11">
        <f>CP53</f>
        <v>0</v>
      </c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14"/>
      <c r="EP53" s="15">
        <f t="shared" si="7"/>
        <v>0</v>
      </c>
    </row>
    <row r="54" spans="1:146" s="18" customFormat="1" ht="35" customHeight="1">
      <c r="A54" s="4">
        <v>36</v>
      </c>
      <c r="B54" s="59" t="s">
        <v>425</v>
      </c>
      <c r="C54" s="219" t="s">
        <v>268</v>
      </c>
      <c r="D54" s="7">
        <v>1449900486890</v>
      </c>
      <c r="E54" s="7" t="s">
        <v>269</v>
      </c>
      <c r="F54" s="8" t="s">
        <v>34</v>
      </c>
      <c r="G54" s="9">
        <v>44974</v>
      </c>
      <c r="H54" s="10" t="s">
        <v>76</v>
      </c>
      <c r="I54" s="11">
        <v>400</v>
      </c>
      <c r="J54" s="11">
        <v>25</v>
      </c>
      <c r="K54" s="11">
        <v>10000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>
        <v>8</v>
      </c>
      <c r="W54" s="11">
        <v>400</v>
      </c>
      <c r="X54" s="11">
        <v>0</v>
      </c>
      <c r="Y54" s="11">
        <v>0</v>
      </c>
      <c r="Z54" s="11">
        <v>0</v>
      </c>
      <c r="AA54" s="11">
        <v>0</v>
      </c>
      <c r="AB54" s="11">
        <v>8</v>
      </c>
      <c r="AC54" s="11">
        <v>0</v>
      </c>
      <c r="AD54" s="12">
        <v>0</v>
      </c>
      <c r="AE54" s="11">
        <v>400</v>
      </c>
      <c r="AF54" s="11">
        <v>10800</v>
      </c>
      <c r="AG54" s="11">
        <v>1300</v>
      </c>
      <c r="AH54" s="11">
        <v>1890</v>
      </c>
      <c r="AI54" s="11">
        <v>1215</v>
      </c>
      <c r="AJ54" s="11">
        <v>1200</v>
      </c>
      <c r="AK54" s="11">
        <v>1890</v>
      </c>
      <c r="AL54" s="94">
        <v>0</v>
      </c>
      <c r="AM54" s="11">
        <v>940.92</v>
      </c>
      <c r="AN54" s="11">
        <v>0</v>
      </c>
      <c r="AO54" s="11">
        <v>0</v>
      </c>
      <c r="AP54" s="11">
        <v>0</v>
      </c>
      <c r="AQ54" s="11">
        <v>0</v>
      </c>
      <c r="AR54" s="11">
        <v>500</v>
      </c>
      <c r="AS54" s="11">
        <v>0</v>
      </c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>
        <v>16</v>
      </c>
      <c r="BV54" s="53">
        <v>1600</v>
      </c>
      <c r="BW54" s="53"/>
      <c r="BX54" s="53"/>
      <c r="BY54" s="11">
        <v>6</v>
      </c>
      <c r="BZ54" s="53">
        <v>900</v>
      </c>
      <c r="CA54" s="11">
        <v>0</v>
      </c>
      <c r="CB54" s="53">
        <v>0</v>
      </c>
      <c r="CC54" s="53"/>
      <c r="CD54" s="53"/>
      <c r="CE54" s="11">
        <v>0</v>
      </c>
      <c r="CF54" s="53">
        <v>0</v>
      </c>
      <c r="CG54" s="43">
        <v>8125</v>
      </c>
      <c r="CH54" s="11">
        <v>9735.92</v>
      </c>
      <c r="CI54" s="94">
        <v>0</v>
      </c>
      <c r="CJ54" s="11">
        <v>0</v>
      </c>
      <c r="CK54" s="13"/>
      <c r="CL54" s="13">
        <v>28660.92</v>
      </c>
      <c r="CM54" s="11"/>
      <c r="CN54" s="11"/>
      <c r="CO54" s="14">
        <v>324</v>
      </c>
      <c r="CP54" s="14"/>
      <c r="CQ54" s="14"/>
      <c r="CR54" s="94"/>
      <c r="CS54" s="94"/>
      <c r="CT54" s="11">
        <v>0</v>
      </c>
      <c r="CU54" s="11"/>
      <c r="CV54" s="11">
        <v>0</v>
      </c>
      <c r="CW54" s="11"/>
      <c r="CX54" s="11"/>
      <c r="CY54" s="11">
        <v>0</v>
      </c>
      <c r="CZ54" s="95">
        <f t="shared" si="4"/>
        <v>324</v>
      </c>
      <c r="DA54" s="13">
        <f t="shared" si="5"/>
        <v>28336.92</v>
      </c>
      <c r="DB54" s="61">
        <v>28933.72</v>
      </c>
      <c r="DC54" s="61">
        <v>28660.92</v>
      </c>
      <c r="DD54" s="61"/>
      <c r="DE54" s="61"/>
      <c r="DF54" s="61"/>
      <c r="DG54" s="61"/>
      <c r="DH54" s="61"/>
      <c r="DI54" s="61"/>
      <c r="DJ54" s="61"/>
      <c r="DK54" s="61"/>
      <c r="DL54" s="61"/>
      <c r="DM54" s="62"/>
      <c r="DN54" s="15">
        <v>57594.64</v>
      </c>
      <c r="DO54" s="16">
        <v>-31750.68</v>
      </c>
      <c r="DP54" s="17">
        <v>0</v>
      </c>
      <c r="DQ54" s="61">
        <v>224</v>
      </c>
      <c r="DR54" s="61">
        <v>324</v>
      </c>
      <c r="DS54" s="61"/>
      <c r="DT54" s="61"/>
      <c r="DU54" s="61"/>
      <c r="DV54" s="61"/>
      <c r="DW54" s="61"/>
      <c r="DX54" s="61"/>
      <c r="DY54" s="61"/>
      <c r="DZ54" s="61"/>
      <c r="EA54" s="61"/>
      <c r="EB54" s="14"/>
      <c r="EC54" s="15">
        <f t="shared" si="6"/>
        <v>548</v>
      </c>
      <c r="ED54" s="11">
        <f>CP54</f>
        <v>0</v>
      </c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14"/>
      <c r="EP54" s="15">
        <f t="shared" si="7"/>
        <v>0</v>
      </c>
    </row>
    <row r="55" spans="1:146" s="18" customFormat="1" ht="35" customHeight="1">
      <c r="A55" s="4">
        <v>37</v>
      </c>
      <c r="B55" s="59" t="s">
        <v>426</v>
      </c>
      <c r="C55" s="219" t="s">
        <v>270</v>
      </c>
      <c r="D55" s="7">
        <v>1449900486891</v>
      </c>
      <c r="E55" s="7" t="s">
        <v>271</v>
      </c>
      <c r="F55" s="8" t="s">
        <v>34</v>
      </c>
      <c r="G55" s="9">
        <v>44975</v>
      </c>
      <c r="H55" s="10" t="s">
        <v>76</v>
      </c>
      <c r="I55" s="11">
        <v>400</v>
      </c>
      <c r="J55" s="11">
        <v>25</v>
      </c>
      <c r="K55" s="11">
        <v>10000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>
        <v>8</v>
      </c>
      <c r="W55" s="11">
        <v>400</v>
      </c>
      <c r="X55" s="11">
        <v>0</v>
      </c>
      <c r="Y55" s="11">
        <v>0</v>
      </c>
      <c r="Z55" s="11">
        <v>0</v>
      </c>
      <c r="AA55" s="11">
        <v>0</v>
      </c>
      <c r="AB55" s="11">
        <v>8</v>
      </c>
      <c r="AC55" s="11">
        <v>0</v>
      </c>
      <c r="AD55" s="12">
        <v>0</v>
      </c>
      <c r="AE55" s="11">
        <v>400</v>
      </c>
      <c r="AF55" s="11">
        <v>10800</v>
      </c>
      <c r="AG55" s="11">
        <v>1300</v>
      </c>
      <c r="AH55" s="11">
        <v>1890</v>
      </c>
      <c r="AI55" s="11">
        <v>1215</v>
      </c>
      <c r="AJ55" s="11">
        <v>1200</v>
      </c>
      <c r="AK55" s="11">
        <v>1890</v>
      </c>
      <c r="AL55" s="94">
        <v>0</v>
      </c>
      <c r="AM55" s="11">
        <v>940.92</v>
      </c>
      <c r="AN55" s="11">
        <v>0</v>
      </c>
      <c r="AO55" s="11">
        <v>0</v>
      </c>
      <c r="AP55" s="11">
        <v>0</v>
      </c>
      <c r="AQ55" s="11">
        <v>0</v>
      </c>
      <c r="AR55" s="11">
        <v>500</v>
      </c>
      <c r="AS55" s="11">
        <v>0</v>
      </c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>
        <v>16</v>
      </c>
      <c r="BV55" s="53">
        <v>1600</v>
      </c>
      <c r="BW55" s="53"/>
      <c r="BX55" s="53"/>
      <c r="BY55" s="11">
        <v>6</v>
      </c>
      <c r="BZ55" s="53">
        <v>900</v>
      </c>
      <c r="CA55" s="11">
        <v>0</v>
      </c>
      <c r="CB55" s="53">
        <v>0</v>
      </c>
      <c r="CC55" s="53"/>
      <c r="CD55" s="53"/>
      <c r="CE55" s="11">
        <v>0</v>
      </c>
      <c r="CF55" s="53">
        <v>0</v>
      </c>
      <c r="CG55" s="43">
        <v>8125</v>
      </c>
      <c r="CH55" s="11">
        <v>9735.92</v>
      </c>
      <c r="CI55" s="94">
        <v>0</v>
      </c>
      <c r="CJ55" s="11">
        <v>0</v>
      </c>
      <c r="CK55" s="13"/>
      <c r="CL55" s="13">
        <v>28660.92</v>
      </c>
      <c r="CM55" s="11"/>
      <c r="CN55" s="11"/>
      <c r="CO55" s="14">
        <v>324</v>
      </c>
      <c r="CP55" s="14"/>
      <c r="CQ55" s="14"/>
      <c r="CR55" s="94"/>
      <c r="CS55" s="94"/>
      <c r="CT55" s="11">
        <v>0</v>
      </c>
      <c r="CU55" s="11"/>
      <c r="CV55" s="11">
        <v>0</v>
      </c>
      <c r="CW55" s="11"/>
      <c r="CX55" s="11"/>
      <c r="CY55" s="11">
        <v>0</v>
      </c>
      <c r="CZ55" s="95">
        <f t="shared" si="4"/>
        <v>324</v>
      </c>
      <c r="DA55" s="13">
        <f t="shared" si="5"/>
        <v>28336.92</v>
      </c>
      <c r="DB55" s="61">
        <v>28933.72</v>
      </c>
      <c r="DC55" s="61">
        <v>28660.92</v>
      </c>
      <c r="DD55" s="61"/>
      <c r="DE55" s="61"/>
      <c r="DF55" s="61"/>
      <c r="DG55" s="61"/>
      <c r="DH55" s="61"/>
      <c r="DI55" s="61"/>
      <c r="DJ55" s="61"/>
      <c r="DK55" s="61"/>
      <c r="DL55" s="61"/>
      <c r="DM55" s="62"/>
      <c r="DN55" s="15">
        <v>57594.64</v>
      </c>
      <c r="DO55" s="16">
        <v>-31750.68</v>
      </c>
      <c r="DP55" s="17">
        <v>0</v>
      </c>
      <c r="DQ55" s="61">
        <v>224</v>
      </c>
      <c r="DR55" s="61">
        <v>324</v>
      </c>
      <c r="DS55" s="61"/>
      <c r="DT55" s="61"/>
      <c r="DU55" s="61"/>
      <c r="DV55" s="61"/>
      <c r="DW55" s="61"/>
      <c r="DX55" s="61"/>
      <c r="DY55" s="61"/>
      <c r="DZ55" s="61"/>
      <c r="EA55" s="61"/>
      <c r="EB55" s="14"/>
      <c r="EC55" s="15">
        <f t="shared" si="6"/>
        <v>548</v>
      </c>
      <c r="ED55" s="11">
        <f>CP55</f>
        <v>0</v>
      </c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14"/>
      <c r="EP55" s="15">
        <f t="shared" si="7"/>
        <v>0</v>
      </c>
    </row>
    <row r="56" spans="1:146" s="18" customFormat="1" ht="35" customHeight="1">
      <c r="A56" s="4">
        <v>38</v>
      </c>
      <c r="B56" s="59" t="s">
        <v>427</v>
      </c>
      <c r="C56" s="219" t="s">
        <v>272</v>
      </c>
      <c r="D56" s="7">
        <v>1449900486892</v>
      </c>
      <c r="E56" s="7" t="s">
        <v>273</v>
      </c>
      <c r="F56" s="8" t="s">
        <v>34</v>
      </c>
      <c r="G56" s="9">
        <v>44976</v>
      </c>
      <c r="H56" s="10" t="s">
        <v>76</v>
      </c>
      <c r="I56" s="11">
        <v>400</v>
      </c>
      <c r="J56" s="11">
        <v>25</v>
      </c>
      <c r="K56" s="11">
        <v>10000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>
        <v>8</v>
      </c>
      <c r="W56" s="11">
        <v>400</v>
      </c>
      <c r="X56" s="11">
        <v>0</v>
      </c>
      <c r="Y56" s="11">
        <v>0</v>
      </c>
      <c r="Z56" s="11">
        <v>0</v>
      </c>
      <c r="AA56" s="11">
        <v>0</v>
      </c>
      <c r="AB56" s="11">
        <v>8</v>
      </c>
      <c r="AC56" s="11">
        <v>0</v>
      </c>
      <c r="AD56" s="12">
        <v>0</v>
      </c>
      <c r="AE56" s="11">
        <v>400</v>
      </c>
      <c r="AF56" s="11">
        <v>10800</v>
      </c>
      <c r="AG56" s="11">
        <v>1300</v>
      </c>
      <c r="AH56" s="11">
        <v>1890</v>
      </c>
      <c r="AI56" s="11">
        <v>1215</v>
      </c>
      <c r="AJ56" s="11">
        <v>1200</v>
      </c>
      <c r="AK56" s="11">
        <v>1890</v>
      </c>
      <c r="AL56" s="94">
        <v>0</v>
      </c>
      <c r="AM56" s="11">
        <v>940.92</v>
      </c>
      <c r="AN56" s="11">
        <v>0</v>
      </c>
      <c r="AO56" s="11">
        <v>0</v>
      </c>
      <c r="AP56" s="11">
        <v>0</v>
      </c>
      <c r="AQ56" s="11">
        <v>0</v>
      </c>
      <c r="AR56" s="11">
        <v>500</v>
      </c>
      <c r="AS56" s="11">
        <v>0</v>
      </c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>
        <v>16</v>
      </c>
      <c r="BV56" s="53">
        <v>1600</v>
      </c>
      <c r="BW56" s="53"/>
      <c r="BX56" s="53"/>
      <c r="BY56" s="11">
        <v>6</v>
      </c>
      <c r="BZ56" s="53">
        <v>900</v>
      </c>
      <c r="CA56" s="11">
        <v>0</v>
      </c>
      <c r="CB56" s="53">
        <v>0</v>
      </c>
      <c r="CC56" s="53"/>
      <c r="CD56" s="53"/>
      <c r="CE56" s="11">
        <v>0</v>
      </c>
      <c r="CF56" s="53">
        <v>0</v>
      </c>
      <c r="CG56" s="43">
        <v>8125</v>
      </c>
      <c r="CH56" s="11">
        <v>9735.92</v>
      </c>
      <c r="CI56" s="94">
        <v>0</v>
      </c>
      <c r="CJ56" s="11">
        <v>0</v>
      </c>
      <c r="CK56" s="13"/>
      <c r="CL56" s="13">
        <v>28660.92</v>
      </c>
      <c r="CM56" s="11"/>
      <c r="CN56" s="11"/>
      <c r="CO56" s="14">
        <v>324</v>
      </c>
      <c r="CP56" s="14"/>
      <c r="CQ56" s="14"/>
      <c r="CR56" s="94"/>
      <c r="CS56" s="94"/>
      <c r="CT56" s="11">
        <v>0</v>
      </c>
      <c r="CU56" s="11"/>
      <c r="CV56" s="11">
        <v>0</v>
      </c>
      <c r="CW56" s="11"/>
      <c r="CX56" s="11"/>
      <c r="CY56" s="11">
        <v>0</v>
      </c>
      <c r="CZ56" s="95">
        <f t="shared" si="4"/>
        <v>324</v>
      </c>
      <c r="DA56" s="13">
        <f t="shared" si="5"/>
        <v>28336.92</v>
      </c>
      <c r="DB56" s="61">
        <v>28933.72</v>
      </c>
      <c r="DC56" s="61">
        <v>28660.92</v>
      </c>
      <c r="DD56" s="61"/>
      <c r="DE56" s="61"/>
      <c r="DF56" s="61"/>
      <c r="DG56" s="61"/>
      <c r="DH56" s="61"/>
      <c r="DI56" s="61"/>
      <c r="DJ56" s="61"/>
      <c r="DK56" s="61"/>
      <c r="DL56" s="61"/>
      <c r="DM56" s="62"/>
      <c r="DN56" s="15">
        <v>57594.64</v>
      </c>
      <c r="DO56" s="16">
        <v>-31750.68</v>
      </c>
      <c r="DP56" s="17">
        <v>0</v>
      </c>
      <c r="DQ56" s="61">
        <v>224</v>
      </c>
      <c r="DR56" s="61">
        <v>324</v>
      </c>
      <c r="DS56" s="61"/>
      <c r="DT56" s="61"/>
      <c r="DU56" s="61"/>
      <c r="DV56" s="61"/>
      <c r="DW56" s="61"/>
      <c r="DX56" s="61"/>
      <c r="DY56" s="61"/>
      <c r="DZ56" s="61"/>
      <c r="EA56" s="61"/>
      <c r="EB56" s="14"/>
      <c r="EC56" s="15">
        <f t="shared" si="6"/>
        <v>548</v>
      </c>
      <c r="ED56" s="11">
        <f>CP56</f>
        <v>0</v>
      </c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14"/>
      <c r="EP56" s="15">
        <f t="shared" si="7"/>
        <v>0</v>
      </c>
    </row>
    <row r="57" spans="1:146" s="18" customFormat="1" ht="35" customHeight="1">
      <c r="A57" s="4">
        <v>39</v>
      </c>
      <c r="B57" s="59" t="s">
        <v>428</v>
      </c>
      <c r="C57" s="219" t="s">
        <v>274</v>
      </c>
      <c r="D57" s="7">
        <v>1449900486893</v>
      </c>
      <c r="E57" s="7" t="s">
        <v>275</v>
      </c>
      <c r="F57" s="8" t="s">
        <v>34</v>
      </c>
      <c r="G57" s="9">
        <v>44977</v>
      </c>
      <c r="H57" s="10" t="s">
        <v>76</v>
      </c>
      <c r="I57" s="11">
        <v>400</v>
      </c>
      <c r="J57" s="11">
        <v>25</v>
      </c>
      <c r="K57" s="11">
        <v>10000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>
        <v>8</v>
      </c>
      <c r="W57" s="11">
        <v>400</v>
      </c>
      <c r="X57" s="11">
        <v>0</v>
      </c>
      <c r="Y57" s="11">
        <v>0</v>
      </c>
      <c r="Z57" s="11">
        <v>0</v>
      </c>
      <c r="AA57" s="11">
        <v>0</v>
      </c>
      <c r="AB57" s="11">
        <v>8</v>
      </c>
      <c r="AC57" s="11">
        <v>0</v>
      </c>
      <c r="AD57" s="12">
        <v>0</v>
      </c>
      <c r="AE57" s="11">
        <v>400</v>
      </c>
      <c r="AF57" s="11">
        <v>10800</v>
      </c>
      <c r="AG57" s="11">
        <v>1300</v>
      </c>
      <c r="AH57" s="11">
        <v>1890</v>
      </c>
      <c r="AI57" s="11">
        <v>1215</v>
      </c>
      <c r="AJ57" s="11">
        <v>1200</v>
      </c>
      <c r="AK57" s="11">
        <v>1890</v>
      </c>
      <c r="AL57" s="94">
        <v>0</v>
      </c>
      <c r="AM57" s="11">
        <v>940.92</v>
      </c>
      <c r="AN57" s="11">
        <v>0</v>
      </c>
      <c r="AO57" s="11">
        <v>0</v>
      </c>
      <c r="AP57" s="11">
        <v>0</v>
      </c>
      <c r="AQ57" s="11">
        <v>0</v>
      </c>
      <c r="AR57" s="11">
        <v>500</v>
      </c>
      <c r="AS57" s="11">
        <v>0</v>
      </c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>
        <v>16</v>
      </c>
      <c r="BV57" s="53">
        <v>1600</v>
      </c>
      <c r="BW57" s="53"/>
      <c r="BX57" s="53"/>
      <c r="BY57" s="11">
        <v>6</v>
      </c>
      <c r="BZ57" s="53">
        <v>900</v>
      </c>
      <c r="CA57" s="11">
        <v>0</v>
      </c>
      <c r="CB57" s="53">
        <v>0</v>
      </c>
      <c r="CC57" s="53"/>
      <c r="CD57" s="53"/>
      <c r="CE57" s="11">
        <v>0</v>
      </c>
      <c r="CF57" s="53">
        <v>0</v>
      </c>
      <c r="CG57" s="43">
        <v>8125</v>
      </c>
      <c r="CH57" s="11">
        <v>9735.92</v>
      </c>
      <c r="CI57" s="94">
        <v>0</v>
      </c>
      <c r="CJ57" s="11">
        <v>0</v>
      </c>
      <c r="CK57" s="13"/>
      <c r="CL57" s="13">
        <v>28660.92</v>
      </c>
      <c r="CM57" s="11"/>
      <c r="CN57" s="11"/>
      <c r="CO57" s="14">
        <v>324</v>
      </c>
      <c r="CP57" s="14"/>
      <c r="CQ57" s="14"/>
      <c r="CR57" s="94"/>
      <c r="CS57" s="94"/>
      <c r="CT57" s="11">
        <v>0</v>
      </c>
      <c r="CU57" s="11"/>
      <c r="CV57" s="11">
        <v>0</v>
      </c>
      <c r="CW57" s="11"/>
      <c r="CX57" s="11"/>
      <c r="CY57" s="11">
        <v>0</v>
      </c>
      <c r="CZ57" s="95">
        <f t="shared" si="4"/>
        <v>324</v>
      </c>
      <c r="DA57" s="13">
        <f t="shared" si="5"/>
        <v>28336.92</v>
      </c>
      <c r="DB57" s="61">
        <v>28933.72</v>
      </c>
      <c r="DC57" s="61">
        <v>28660.92</v>
      </c>
      <c r="DD57" s="61"/>
      <c r="DE57" s="61"/>
      <c r="DF57" s="61"/>
      <c r="DG57" s="61"/>
      <c r="DH57" s="61"/>
      <c r="DI57" s="61"/>
      <c r="DJ57" s="61"/>
      <c r="DK57" s="61"/>
      <c r="DL57" s="61"/>
      <c r="DM57" s="62"/>
      <c r="DN57" s="15">
        <v>57594.64</v>
      </c>
      <c r="DO57" s="16">
        <v>-31750.68</v>
      </c>
      <c r="DP57" s="17">
        <v>0</v>
      </c>
      <c r="DQ57" s="61">
        <v>224</v>
      </c>
      <c r="DR57" s="61">
        <v>324</v>
      </c>
      <c r="DS57" s="61"/>
      <c r="DT57" s="61"/>
      <c r="DU57" s="61"/>
      <c r="DV57" s="61"/>
      <c r="DW57" s="61"/>
      <c r="DX57" s="61"/>
      <c r="DY57" s="61"/>
      <c r="DZ57" s="61"/>
      <c r="EA57" s="61"/>
      <c r="EB57" s="14"/>
      <c r="EC57" s="15">
        <f t="shared" si="6"/>
        <v>548</v>
      </c>
      <c r="ED57" s="11">
        <f>CP57</f>
        <v>0</v>
      </c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14"/>
      <c r="EP57" s="15">
        <f t="shared" si="7"/>
        <v>0</v>
      </c>
    </row>
    <row r="58" spans="1:146" s="18" customFormat="1" ht="35" customHeight="1">
      <c r="A58" s="4">
        <v>40</v>
      </c>
      <c r="B58" s="59" t="s">
        <v>429</v>
      </c>
      <c r="C58" s="219" t="s">
        <v>276</v>
      </c>
      <c r="D58" s="7">
        <v>1449900486894</v>
      </c>
      <c r="E58" s="7" t="s">
        <v>277</v>
      </c>
      <c r="F58" s="8" t="s">
        <v>34</v>
      </c>
      <c r="G58" s="9">
        <v>44978</v>
      </c>
      <c r="H58" s="10" t="s">
        <v>76</v>
      </c>
      <c r="I58" s="11">
        <v>400</v>
      </c>
      <c r="J58" s="11">
        <v>25</v>
      </c>
      <c r="K58" s="11">
        <v>10000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>
        <v>8</v>
      </c>
      <c r="W58" s="11">
        <v>400</v>
      </c>
      <c r="X58" s="11">
        <v>0</v>
      </c>
      <c r="Y58" s="11">
        <v>0</v>
      </c>
      <c r="Z58" s="11">
        <v>0</v>
      </c>
      <c r="AA58" s="11">
        <v>0</v>
      </c>
      <c r="AB58" s="11">
        <v>8</v>
      </c>
      <c r="AC58" s="11">
        <v>0</v>
      </c>
      <c r="AD58" s="12">
        <v>0</v>
      </c>
      <c r="AE58" s="11">
        <v>400</v>
      </c>
      <c r="AF58" s="11">
        <v>10800</v>
      </c>
      <c r="AG58" s="11">
        <v>1300</v>
      </c>
      <c r="AH58" s="11">
        <v>1890</v>
      </c>
      <c r="AI58" s="11">
        <v>1215</v>
      </c>
      <c r="AJ58" s="11">
        <v>1200</v>
      </c>
      <c r="AK58" s="11">
        <v>1890</v>
      </c>
      <c r="AL58" s="94">
        <v>0</v>
      </c>
      <c r="AM58" s="11">
        <v>940.92</v>
      </c>
      <c r="AN58" s="11">
        <v>0</v>
      </c>
      <c r="AO58" s="11">
        <v>0</v>
      </c>
      <c r="AP58" s="11">
        <v>0</v>
      </c>
      <c r="AQ58" s="11">
        <v>0</v>
      </c>
      <c r="AR58" s="11">
        <v>500</v>
      </c>
      <c r="AS58" s="11">
        <v>0</v>
      </c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>
        <v>16</v>
      </c>
      <c r="BV58" s="53">
        <v>1600</v>
      </c>
      <c r="BW58" s="53"/>
      <c r="BX58" s="53"/>
      <c r="BY58" s="11">
        <v>6</v>
      </c>
      <c r="BZ58" s="53">
        <v>900</v>
      </c>
      <c r="CA58" s="11">
        <v>0</v>
      </c>
      <c r="CB58" s="53">
        <v>0</v>
      </c>
      <c r="CC58" s="53"/>
      <c r="CD58" s="53"/>
      <c r="CE58" s="11">
        <v>0</v>
      </c>
      <c r="CF58" s="53">
        <v>0</v>
      </c>
      <c r="CG58" s="43">
        <v>8125</v>
      </c>
      <c r="CH58" s="11">
        <v>9735.92</v>
      </c>
      <c r="CI58" s="94">
        <v>0</v>
      </c>
      <c r="CJ58" s="11">
        <v>0</v>
      </c>
      <c r="CK58" s="13"/>
      <c r="CL58" s="13">
        <v>28660.92</v>
      </c>
      <c r="CM58" s="11"/>
      <c r="CN58" s="11"/>
      <c r="CO58" s="14">
        <v>324</v>
      </c>
      <c r="CP58" s="14"/>
      <c r="CQ58" s="14"/>
      <c r="CR58" s="94"/>
      <c r="CS58" s="94"/>
      <c r="CT58" s="11">
        <v>0</v>
      </c>
      <c r="CU58" s="11"/>
      <c r="CV58" s="11">
        <v>0</v>
      </c>
      <c r="CW58" s="11"/>
      <c r="CX58" s="11"/>
      <c r="CY58" s="11">
        <v>0</v>
      </c>
      <c r="CZ58" s="95">
        <f t="shared" si="4"/>
        <v>324</v>
      </c>
      <c r="DA58" s="13">
        <f t="shared" si="5"/>
        <v>28336.92</v>
      </c>
      <c r="DB58" s="61">
        <v>28933.72</v>
      </c>
      <c r="DC58" s="61">
        <v>28660.92</v>
      </c>
      <c r="DD58" s="61"/>
      <c r="DE58" s="61"/>
      <c r="DF58" s="61"/>
      <c r="DG58" s="61"/>
      <c r="DH58" s="61"/>
      <c r="DI58" s="61"/>
      <c r="DJ58" s="61"/>
      <c r="DK58" s="61"/>
      <c r="DL58" s="61"/>
      <c r="DM58" s="62"/>
      <c r="DN58" s="15">
        <v>57594.64</v>
      </c>
      <c r="DO58" s="16">
        <v>-31750.68</v>
      </c>
      <c r="DP58" s="17">
        <v>0</v>
      </c>
      <c r="DQ58" s="61">
        <v>224</v>
      </c>
      <c r="DR58" s="61">
        <v>324</v>
      </c>
      <c r="DS58" s="61"/>
      <c r="DT58" s="61"/>
      <c r="DU58" s="61"/>
      <c r="DV58" s="61"/>
      <c r="DW58" s="61"/>
      <c r="DX58" s="61"/>
      <c r="DY58" s="61"/>
      <c r="DZ58" s="61"/>
      <c r="EA58" s="61"/>
      <c r="EB58" s="14"/>
      <c r="EC58" s="15">
        <f t="shared" si="6"/>
        <v>548</v>
      </c>
      <c r="ED58" s="11">
        <f>CP58</f>
        <v>0</v>
      </c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14"/>
      <c r="EP58" s="15">
        <f t="shared" si="7"/>
        <v>0</v>
      </c>
    </row>
    <row r="59" spans="1:146" s="18" customFormat="1" ht="35" customHeight="1">
      <c r="A59" s="4">
        <v>41</v>
      </c>
      <c r="B59" s="59" t="s">
        <v>430</v>
      </c>
      <c r="C59" s="219" t="s">
        <v>278</v>
      </c>
      <c r="D59" s="7">
        <v>1449900486895</v>
      </c>
      <c r="E59" s="7" t="s">
        <v>279</v>
      </c>
      <c r="F59" s="8" t="s">
        <v>34</v>
      </c>
      <c r="G59" s="9">
        <v>44979</v>
      </c>
      <c r="H59" s="10" t="s">
        <v>76</v>
      </c>
      <c r="I59" s="11">
        <v>400</v>
      </c>
      <c r="J59" s="11">
        <v>25</v>
      </c>
      <c r="K59" s="11">
        <v>10000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>
        <v>8</v>
      </c>
      <c r="W59" s="11">
        <v>400</v>
      </c>
      <c r="X59" s="11">
        <v>0</v>
      </c>
      <c r="Y59" s="11">
        <v>0</v>
      </c>
      <c r="Z59" s="11">
        <v>0</v>
      </c>
      <c r="AA59" s="11">
        <v>0</v>
      </c>
      <c r="AB59" s="11">
        <v>8</v>
      </c>
      <c r="AC59" s="11">
        <v>0</v>
      </c>
      <c r="AD59" s="12">
        <v>0</v>
      </c>
      <c r="AE59" s="11">
        <v>400</v>
      </c>
      <c r="AF59" s="11">
        <v>10800</v>
      </c>
      <c r="AG59" s="11">
        <v>1300</v>
      </c>
      <c r="AH59" s="11">
        <v>1890</v>
      </c>
      <c r="AI59" s="11">
        <v>1215</v>
      </c>
      <c r="AJ59" s="11">
        <v>1200</v>
      </c>
      <c r="AK59" s="11">
        <v>1890</v>
      </c>
      <c r="AL59" s="94">
        <v>0</v>
      </c>
      <c r="AM59" s="11">
        <v>940.92</v>
      </c>
      <c r="AN59" s="11">
        <v>0</v>
      </c>
      <c r="AO59" s="11">
        <v>0</v>
      </c>
      <c r="AP59" s="11">
        <v>0</v>
      </c>
      <c r="AQ59" s="11">
        <v>0</v>
      </c>
      <c r="AR59" s="11">
        <v>500</v>
      </c>
      <c r="AS59" s="11">
        <v>0</v>
      </c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>
        <v>16</v>
      </c>
      <c r="BV59" s="53">
        <v>1600</v>
      </c>
      <c r="BW59" s="53"/>
      <c r="BX59" s="53"/>
      <c r="BY59" s="11">
        <v>6</v>
      </c>
      <c r="BZ59" s="53">
        <v>900</v>
      </c>
      <c r="CA59" s="11">
        <v>0</v>
      </c>
      <c r="CB59" s="53">
        <v>0</v>
      </c>
      <c r="CC59" s="53"/>
      <c r="CD59" s="53"/>
      <c r="CE59" s="11">
        <v>0</v>
      </c>
      <c r="CF59" s="53">
        <v>0</v>
      </c>
      <c r="CG59" s="43">
        <v>8125</v>
      </c>
      <c r="CH59" s="11">
        <v>9735.92</v>
      </c>
      <c r="CI59" s="94">
        <v>0</v>
      </c>
      <c r="CJ59" s="11">
        <v>0</v>
      </c>
      <c r="CK59" s="13"/>
      <c r="CL59" s="13">
        <v>28660.92</v>
      </c>
      <c r="CM59" s="11"/>
      <c r="CN59" s="11"/>
      <c r="CO59" s="14">
        <v>324</v>
      </c>
      <c r="CP59" s="14"/>
      <c r="CQ59" s="14"/>
      <c r="CR59" s="94"/>
      <c r="CS59" s="94"/>
      <c r="CT59" s="11">
        <v>0</v>
      </c>
      <c r="CU59" s="11"/>
      <c r="CV59" s="11">
        <v>0</v>
      </c>
      <c r="CW59" s="11"/>
      <c r="CX59" s="11"/>
      <c r="CY59" s="11">
        <v>0</v>
      </c>
      <c r="CZ59" s="95">
        <f t="shared" si="4"/>
        <v>324</v>
      </c>
      <c r="DA59" s="13">
        <f t="shared" si="5"/>
        <v>28336.92</v>
      </c>
      <c r="DB59" s="61">
        <v>28933.72</v>
      </c>
      <c r="DC59" s="61">
        <v>28660.92</v>
      </c>
      <c r="DD59" s="61"/>
      <c r="DE59" s="61"/>
      <c r="DF59" s="61"/>
      <c r="DG59" s="61"/>
      <c r="DH59" s="61"/>
      <c r="DI59" s="61"/>
      <c r="DJ59" s="61"/>
      <c r="DK59" s="61"/>
      <c r="DL59" s="61"/>
      <c r="DM59" s="62"/>
      <c r="DN59" s="15">
        <v>57594.64</v>
      </c>
      <c r="DO59" s="16">
        <v>-31750.68</v>
      </c>
      <c r="DP59" s="17">
        <v>0</v>
      </c>
      <c r="DQ59" s="61">
        <v>224</v>
      </c>
      <c r="DR59" s="61">
        <v>324</v>
      </c>
      <c r="DS59" s="61"/>
      <c r="DT59" s="61"/>
      <c r="DU59" s="61"/>
      <c r="DV59" s="61"/>
      <c r="DW59" s="61"/>
      <c r="DX59" s="61"/>
      <c r="DY59" s="61"/>
      <c r="DZ59" s="61"/>
      <c r="EA59" s="61"/>
      <c r="EB59" s="14"/>
      <c r="EC59" s="15">
        <f t="shared" si="6"/>
        <v>548</v>
      </c>
      <c r="ED59" s="11">
        <f>CP59</f>
        <v>0</v>
      </c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14"/>
      <c r="EP59" s="15">
        <f t="shared" si="7"/>
        <v>0</v>
      </c>
    </row>
    <row r="60" spans="1:146" s="18" customFormat="1" ht="35" customHeight="1">
      <c r="A60" s="4">
        <v>42</v>
      </c>
      <c r="B60" s="59" t="s">
        <v>431</v>
      </c>
      <c r="C60" s="219" t="s">
        <v>280</v>
      </c>
      <c r="D60" s="7">
        <v>1449900486896</v>
      </c>
      <c r="E60" s="7" t="s">
        <v>281</v>
      </c>
      <c r="F60" s="8" t="s">
        <v>34</v>
      </c>
      <c r="G60" s="9">
        <v>44980</v>
      </c>
      <c r="H60" s="10" t="s">
        <v>76</v>
      </c>
      <c r="I60" s="11">
        <v>400</v>
      </c>
      <c r="J60" s="11">
        <v>25</v>
      </c>
      <c r="K60" s="11">
        <v>10000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>
        <v>8</v>
      </c>
      <c r="W60" s="11">
        <v>400</v>
      </c>
      <c r="X60" s="11">
        <v>0</v>
      </c>
      <c r="Y60" s="11">
        <v>0</v>
      </c>
      <c r="Z60" s="11">
        <v>0</v>
      </c>
      <c r="AA60" s="11">
        <v>0</v>
      </c>
      <c r="AB60" s="11">
        <v>8</v>
      </c>
      <c r="AC60" s="11">
        <v>0</v>
      </c>
      <c r="AD60" s="12">
        <v>0</v>
      </c>
      <c r="AE60" s="11">
        <v>400</v>
      </c>
      <c r="AF60" s="11">
        <v>10800</v>
      </c>
      <c r="AG60" s="11">
        <v>1300</v>
      </c>
      <c r="AH60" s="11">
        <v>1890</v>
      </c>
      <c r="AI60" s="11">
        <v>1215</v>
      </c>
      <c r="AJ60" s="11">
        <v>1200</v>
      </c>
      <c r="AK60" s="11">
        <v>1890</v>
      </c>
      <c r="AL60" s="94">
        <v>0</v>
      </c>
      <c r="AM60" s="11">
        <v>940.92</v>
      </c>
      <c r="AN60" s="11">
        <v>0</v>
      </c>
      <c r="AO60" s="11">
        <v>0</v>
      </c>
      <c r="AP60" s="11">
        <v>0</v>
      </c>
      <c r="AQ60" s="11">
        <v>0</v>
      </c>
      <c r="AR60" s="11">
        <v>500</v>
      </c>
      <c r="AS60" s="11">
        <v>0</v>
      </c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>
        <v>16</v>
      </c>
      <c r="BV60" s="53">
        <v>1600</v>
      </c>
      <c r="BW60" s="53"/>
      <c r="BX60" s="53"/>
      <c r="BY60" s="11">
        <v>6</v>
      </c>
      <c r="BZ60" s="53">
        <v>900</v>
      </c>
      <c r="CA60" s="11">
        <v>0</v>
      </c>
      <c r="CB60" s="53">
        <v>0</v>
      </c>
      <c r="CC60" s="53"/>
      <c r="CD60" s="53"/>
      <c r="CE60" s="11">
        <v>0</v>
      </c>
      <c r="CF60" s="53">
        <v>0</v>
      </c>
      <c r="CG60" s="43">
        <v>8125</v>
      </c>
      <c r="CH60" s="11">
        <v>9735.92</v>
      </c>
      <c r="CI60" s="94">
        <v>0</v>
      </c>
      <c r="CJ60" s="11">
        <v>0</v>
      </c>
      <c r="CK60" s="13"/>
      <c r="CL60" s="13">
        <v>28660.92</v>
      </c>
      <c r="CM60" s="11"/>
      <c r="CN60" s="11"/>
      <c r="CO60" s="14">
        <v>324</v>
      </c>
      <c r="CP60" s="14"/>
      <c r="CQ60" s="14"/>
      <c r="CR60" s="94"/>
      <c r="CS60" s="94"/>
      <c r="CT60" s="11">
        <v>0</v>
      </c>
      <c r="CU60" s="11"/>
      <c r="CV60" s="11">
        <v>0</v>
      </c>
      <c r="CW60" s="11"/>
      <c r="CX60" s="11"/>
      <c r="CY60" s="11">
        <v>0</v>
      </c>
      <c r="CZ60" s="95">
        <f t="shared" si="4"/>
        <v>324</v>
      </c>
      <c r="DA60" s="13">
        <f t="shared" si="5"/>
        <v>28336.92</v>
      </c>
      <c r="DB60" s="61">
        <v>28933.72</v>
      </c>
      <c r="DC60" s="61">
        <v>28660.92</v>
      </c>
      <c r="DD60" s="61"/>
      <c r="DE60" s="61"/>
      <c r="DF60" s="61"/>
      <c r="DG60" s="61"/>
      <c r="DH60" s="61"/>
      <c r="DI60" s="61"/>
      <c r="DJ60" s="61"/>
      <c r="DK60" s="61"/>
      <c r="DL60" s="61"/>
      <c r="DM60" s="62"/>
      <c r="DN60" s="15">
        <v>57594.64</v>
      </c>
      <c r="DO60" s="16">
        <v>-31750.68</v>
      </c>
      <c r="DP60" s="17">
        <v>0</v>
      </c>
      <c r="DQ60" s="61">
        <v>224</v>
      </c>
      <c r="DR60" s="61">
        <v>324</v>
      </c>
      <c r="DS60" s="61"/>
      <c r="DT60" s="61"/>
      <c r="DU60" s="61"/>
      <c r="DV60" s="61"/>
      <c r="DW60" s="61"/>
      <c r="DX60" s="61"/>
      <c r="DY60" s="61"/>
      <c r="DZ60" s="61"/>
      <c r="EA60" s="61"/>
      <c r="EB60" s="14"/>
      <c r="EC60" s="15">
        <f t="shared" si="6"/>
        <v>548</v>
      </c>
      <c r="ED60" s="11">
        <f>CP60</f>
        <v>0</v>
      </c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14"/>
      <c r="EP60" s="15">
        <f t="shared" si="7"/>
        <v>0</v>
      </c>
    </row>
    <row r="61" spans="1:146" s="18" customFormat="1" ht="35" customHeight="1">
      <c r="A61" s="4">
        <v>43</v>
      </c>
      <c r="B61" s="59" t="s">
        <v>432</v>
      </c>
      <c r="C61" s="219" t="s">
        <v>282</v>
      </c>
      <c r="D61" s="7">
        <v>1449900486897</v>
      </c>
      <c r="E61" s="7" t="s">
        <v>283</v>
      </c>
      <c r="F61" s="8" t="s">
        <v>34</v>
      </c>
      <c r="G61" s="9">
        <v>44981</v>
      </c>
      <c r="H61" s="10" t="s">
        <v>76</v>
      </c>
      <c r="I61" s="11">
        <v>400</v>
      </c>
      <c r="J61" s="11">
        <v>25</v>
      </c>
      <c r="K61" s="11">
        <v>10000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>
        <v>8</v>
      </c>
      <c r="W61" s="11">
        <v>400</v>
      </c>
      <c r="X61" s="11">
        <v>0</v>
      </c>
      <c r="Y61" s="11">
        <v>0</v>
      </c>
      <c r="Z61" s="11">
        <v>0</v>
      </c>
      <c r="AA61" s="11">
        <v>0</v>
      </c>
      <c r="AB61" s="11">
        <v>8</v>
      </c>
      <c r="AC61" s="11">
        <v>0</v>
      </c>
      <c r="AD61" s="12">
        <v>0</v>
      </c>
      <c r="AE61" s="11">
        <v>400</v>
      </c>
      <c r="AF61" s="11">
        <v>10800</v>
      </c>
      <c r="AG61" s="11">
        <v>1300</v>
      </c>
      <c r="AH61" s="11">
        <v>1890</v>
      </c>
      <c r="AI61" s="11">
        <v>1215</v>
      </c>
      <c r="AJ61" s="11">
        <v>1200</v>
      </c>
      <c r="AK61" s="11">
        <v>1890</v>
      </c>
      <c r="AL61" s="94">
        <v>0</v>
      </c>
      <c r="AM61" s="11">
        <v>940.92</v>
      </c>
      <c r="AN61" s="11">
        <v>0</v>
      </c>
      <c r="AO61" s="11">
        <v>0</v>
      </c>
      <c r="AP61" s="11">
        <v>0</v>
      </c>
      <c r="AQ61" s="11">
        <v>0</v>
      </c>
      <c r="AR61" s="11">
        <v>500</v>
      </c>
      <c r="AS61" s="11">
        <v>0</v>
      </c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>
        <v>16</v>
      </c>
      <c r="BV61" s="53">
        <v>1600</v>
      </c>
      <c r="BW61" s="53"/>
      <c r="BX61" s="53"/>
      <c r="BY61" s="11">
        <v>6</v>
      </c>
      <c r="BZ61" s="53">
        <v>900</v>
      </c>
      <c r="CA61" s="11">
        <v>0</v>
      </c>
      <c r="CB61" s="53">
        <v>0</v>
      </c>
      <c r="CC61" s="53"/>
      <c r="CD61" s="53"/>
      <c r="CE61" s="11">
        <v>0</v>
      </c>
      <c r="CF61" s="53">
        <v>0</v>
      </c>
      <c r="CG61" s="43">
        <v>8125</v>
      </c>
      <c r="CH61" s="11">
        <v>9735.92</v>
      </c>
      <c r="CI61" s="94">
        <v>0</v>
      </c>
      <c r="CJ61" s="11">
        <v>0</v>
      </c>
      <c r="CK61" s="13"/>
      <c r="CL61" s="13">
        <v>28660.92</v>
      </c>
      <c r="CM61" s="11"/>
      <c r="CN61" s="11"/>
      <c r="CO61" s="14">
        <v>324</v>
      </c>
      <c r="CP61" s="14"/>
      <c r="CQ61" s="14"/>
      <c r="CR61" s="94"/>
      <c r="CS61" s="94"/>
      <c r="CT61" s="11">
        <v>0</v>
      </c>
      <c r="CU61" s="11"/>
      <c r="CV61" s="11">
        <v>0</v>
      </c>
      <c r="CW61" s="11"/>
      <c r="CX61" s="11"/>
      <c r="CY61" s="11">
        <v>0</v>
      </c>
      <c r="CZ61" s="95">
        <f t="shared" si="4"/>
        <v>324</v>
      </c>
      <c r="DA61" s="13">
        <f t="shared" si="5"/>
        <v>28336.92</v>
      </c>
      <c r="DB61" s="61">
        <v>28933.72</v>
      </c>
      <c r="DC61" s="61">
        <v>28660.92</v>
      </c>
      <c r="DD61" s="61"/>
      <c r="DE61" s="61"/>
      <c r="DF61" s="61"/>
      <c r="DG61" s="61"/>
      <c r="DH61" s="61"/>
      <c r="DI61" s="61"/>
      <c r="DJ61" s="61"/>
      <c r="DK61" s="61"/>
      <c r="DL61" s="61"/>
      <c r="DM61" s="62"/>
      <c r="DN61" s="15">
        <v>57594.64</v>
      </c>
      <c r="DO61" s="16">
        <v>-31750.68</v>
      </c>
      <c r="DP61" s="17">
        <v>0</v>
      </c>
      <c r="DQ61" s="61">
        <v>224</v>
      </c>
      <c r="DR61" s="61">
        <v>324</v>
      </c>
      <c r="DS61" s="61"/>
      <c r="DT61" s="61"/>
      <c r="DU61" s="61"/>
      <c r="DV61" s="61"/>
      <c r="DW61" s="61"/>
      <c r="DX61" s="61"/>
      <c r="DY61" s="61"/>
      <c r="DZ61" s="61"/>
      <c r="EA61" s="61"/>
      <c r="EB61" s="14"/>
      <c r="EC61" s="15">
        <f t="shared" si="6"/>
        <v>548</v>
      </c>
      <c r="ED61" s="11">
        <f>CP61</f>
        <v>0</v>
      </c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14"/>
      <c r="EP61" s="15">
        <f t="shared" si="7"/>
        <v>0</v>
      </c>
    </row>
    <row r="62" spans="1:146" s="18" customFormat="1" ht="35" customHeight="1">
      <c r="A62" s="4">
        <v>44</v>
      </c>
      <c r="B62" s="59" t="s">
        <v>433</v>
      </c>
      <c r="C62" s="219" t="s">
        <v>284</v>
      </c>
      <c r="D62" s="7">
        <v>1449900486898</v>
      </c>
      <c r="E62" s="7" t="s">
        <v>285</v>
      </c>
      <c r="F62" s="8" t="s">
        <v>34</v>
      </c>
      <c r="G62" s="9">
        <v>44982</v>
      </c>
      <c r="H62" s="10" t="s">
        <v>76</v>
      </c>
      <c r="I62" s="11">
        <v>400</v>
      </c>
      <c r="J62" s="11">
        <v>25</v>
      </c>
      <c r="K62" s="11">
        <v>10000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>
        <v>8</v>
      </c>
      <c r="W62" s="11">
        <v>400</v>
      </c>
      <c r="X62" s="11">
        <v>0</v>
      </c>
      <c r="Y62" s="11">
        <v>0</v>
      </c>
      <c r="Z62" s="11">
        <v>0</v>
      </c>
      <c r="AA62" s="11">
        <v>0</v>
      </c>
      <c r="AB62" s="11">
        <v>8</v>
      </c>
      <c r="AC62" s="11">
        <v>0</v>
      </c>
      <c r="AD62" s="12">
        <v>0</v>
      </c>
      <c r="AE62" s="11">
        <v>400</v>
      </c>
      <c r="AF62" s="11">
        <v>10800</v>
      </c>
      <c r="AG62" s="11">
        <v>1300</v>
      </c>
      <c r="AH62" s="11">
        <v>1890</v>
      </c>
      <c r="AI62" s="11">
        <v>1215</v>
      </c>
      <c r="AJ62" s="11">
        <v>1200</v>
      </c>
      <c r="AK62" s="11">
        <v>1890</v>
      </c>
      <c r="AL62" s="94">
        <v>0</v>
      </c>
      <c r="AM62" s="11">
        <v>940.92</v>
      </c>
      <c r="AN62" s="11">
        <v>0</v>
      </c>
      <c r="AO62" s="11">
        <v>0</v>
      </c>
      <c r="AP62" s="11">
        <v>0</v>
      </c>
      <c r="AQ62" s="11">
        <v>0</v>
      </c>
      <c r="AR62" s="11">
        <v>500</v>
      </c>
      <c r="AS62" s="11">
        <v>0</v>
      </c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>
        <v>16</v>
      </c>
      <c r="BV62" s="53">
        <v>1600</v>
      </c>
      <c r="BW62" s="53"/>
      <c r="BX62" s="53"/>
      <c r="BY62" s="11">
        <v>6</v>
      </c>
      <c r="BZ62" s="53">
        <v>900</v>
      </c>
      <c r="CA62" s="11">
        <v>0</v>
      </c>
      <c r="CB62" s="53">
        <v>0</v>
      </c>
      <c r="CC62" s="53"/>
      <c r="CD62" s="53"/>
      <c r="CE62" s="11">
        <v>0</v>
      </c>
      <c r="CF62" s="53">
        <v>0</v>
      </c>
      <c r="CG62" s="43">
        <v>8125</v>
      </c>
      <c r="CH62" s="11">
        <v>9735.92</v>
      </c>
      <c r="CI62" s="94">
        <v>0</v>
      </c>
      <c r="CJ62" s="11">
        <v>0</v>
      </c>
      <c r="CK62" s="13"/>
      <c r="CL62" s="13">
        <v>28660.92</v>
      </c>
      <c r="CM62" s="11"/>
      <c r="CN62" s="11"/>
      <c r="CO62" s="14">
        <v>324</v>
      </c>
      <c r="CP62" s="14"/>
      <c r="CQ62" s="14"/>
      <c r="CR62" s="94"/>
      <c r="CS62" s="94"/>
      <c r="CT62" s="11">
        <v>0</v>
      </c>
      <c r="CU62" s="11"/>
      <c r="CV62" s="11">
        <v>0</v>
      </c>
      <c r="CW62" s="11"/>
      <c r="CX62" s="11"/>
      <c r="CY62" s="11">
        <v>0</v>
      </c>
      <c r="CZ62" s="95">
        <f t="shared" si="4"/>
        <v>324</v>
      </c>
      <c r="DA62" s="13">
        <f t="shared" si="5"/>
        <v>28336.92</v>
      </c>
      <c r="DB62" s="61">
        <v>28933.72</v>
      </c>
      <c r="DC62" s="61">
        <v>28660.92</v>
      </c>
      <c r="DD62" s="61"/>
      <c r="DE62" s="61"/>
      <c r="DF62" s="61"/>
      <c r="DG62" s="61"/>
      <c r="DH62" s="61"/>
      <c r="DI62" s="61"/>
      <c r="DJ62" s="61"/>
      <c r="DK62" s="61"/>
      <c r="DL62" s="61"/>
      <c r="DM62" s="62"/>
      <c r="DN62" s="15">
        <v>57594.64</v>
      </c>
      <c r="DO62" s="16">
        <v>-31750.68</v>
      </c>
      <c r="DP62" s="17">
        <v>0</v>
      </c>
      <c r="DQ62" s="61">
        <v>224</v>
      </c>
      <c r="DR62" s="61">
        <v>324</v>
      </c>
      <c r="DS62" s="61"/>
      <c r="DT62" s="61"/>
      <c r="DU62" s="61"/>
      <c r="DV62" s="61"/>
      <c r="DW62" s="61"/>
      <c r="DX62" s="61"/>
      <c r="DY62" s="61"/>
      <c r="DZ62" s="61"/>
      <c r="EA62" s="61"/>
      <c r="EB62" s="14"/>
      <c r="EC62" s="15">
        <f t="shared" si="6"/>
        <v>548</v>
      </c>
      <c r="ED62" s="11">
        <f>CP62</f>
        <v>0</v>
      </c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14"/>
      <c r="EP62" s="15">
        <f t="shared" si="7"/>
        <v>0</v>
      </c>
    </row>
    <row r="63" spans="1:146" s="18" customFormat="1" ht="35" customHeight="1">
      <c r="A63" s="4">
        <v>45</v>
      </c>
      <c r="B63" s="59" t="s">
        <v>434</v>
      </c>
      <c r="C63" s="219" t="s">
        <v>286</v>
      </c>
      <c r="D63" s="7">
        <v>1449900486899</v>
      </c>
      <c r="E63" s="7" t="s">
        <v>287</v>
      </c>
      <c r="F63" s="8" t="s">
        <v>34</v>
      </c>
      <c r="G63" s="9">
        <v>44983</v>
      </c>
      <c r="H63" s="10" t="s">
        <v>76</v>
      </c>
      <c r="I63" s="11">
        <v>400</v>
      </c>
      <c r="J63" s="11">
        <v>25</v>
      </c>
      <c r="K63" s="11">
        <v>10000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>
        <v>8</v>
      </c>
      <c r="W63" s="11">
        <v>400</v>
      </c>
      <c r="X63" s="11">
        <v>0</v>
      </c>
      <c r="Y63" s="11">
        <v>0</v>
      </c>
      <c r="Z63" s="11">
        <v>0</v>
      </c>
      <c r="AA63" s="11">
        <v>0</v>
      </c>
      <c r="AB63" s="11">
        <v>8</v>
      </c>
      <c r="AC63" s="11">
        <v>0</v>
      </c>
      <c r="AD63" s="12">
        <v>0</v>
      </c>
      <c r="AE63" s="11">
        <v>400</v>
      </c>
      <c r="AF63" s="11">
        <v>10800</v>
      </c>
      <c r="AG63" s="11">
        <v>1300</v>
      </c>
      <c r="AH63" s="11">
        <v>1890</v>
      </c>
      <c r="AI63" s="11">
        <v>1215</v>
      </c>
      <c r="AJ63" s="11">
        <v>1200</v>
      </c>
      <c r="AK63" s="11">
        <v>1890</v>
      </c>
      <c r="AL63" s="94">
        <v>0</v>
      </c>
      <c r="AM63" s="11">
        <v>940.92</v>
      </c>
      <c r="AN63" s="11">
        <v>0</v>
      </c>
      <c r="AO63" s="11">
        <v>0</v>
      </c>
      <c r="AP63" s="11">
        <v>0</v>
      </c>
      <c r="AQ63" s="11">
        <v>0</v>
      </c>
      <c r="AR63" s="11">
        <v>500</v>
      </c>
      <c r="AS63" s="11">
        <v>0</v>
      </c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>
        <v>16</v>
      </c>
      <c r="BV63" s="53">
        <v>1600</v>
      </c>
      <c r="BW63" s="53"/>
      <c r="BX63" s="53"/>
      <c r="BY63" s="11">
        <v>6</v>
      </c>
      <c r="BZ63" s="53">
        <v>900</v>
      </c>
      <c r="CA63" s="11">
        <v>0</v>
      </c>
      <c r="CB63" s="53">
        <v>0</v>
      </c>
      <c r="CC63" s="53"/>
      <c r="CD63" s="53"/>
      <c r="CE63" s="11">
        <v>0</v>
      </c>
      <c r="CF63" s="53">
        <v>0</v>
      </c>
      <c r="CG63" s="43">
        <v>8125</v>
      </c>
      <c r="CH63" s="11">
        <v>9735.92</v>
      </c>
      <c r="CI63" s="94">
        <v>0</v>
      </c>
      <c r="CJ63" s="11">
        <v>0</v>
      </c>
      <c r="CK63" s="13"/>
      <c r="CL63" s="13">
        <v>28660.92</v>
      </c>
      <c r="CM63" s="11"/>
      <c r="CN63" s="11"/>
      <c r="CO63" s="14">
        <v>324</v>
      </c>
      <c r="CP63" s="14"/>
      <c r="CQ63" s="14"/>
      <c r="CR63" s="94"/>
      <c r="CS63" s="94"/>
      <c r="CT63" s="11">
        <v>0</v>
      </c>
      <c r="CU63" s="11"/>
      <c r="CV63" s="11">
        <v>0</v>
      </c>
      <c r="CW63" s="11"/>
      <c r="CX63" s="11"/>
      <c r="CY63" s="11">
        <v>0</v>
      </c>
      <c r="CZ63" s="95">
        <f t="shared" si="4"/>
        <v>324</v>
      </c>
      <c r="DA63" s="13">
        <f t="shared" si="5"/>
        <v>28336.92</v>
      </c>
      <c r="DB63" s="61">
        <v>28933.72</v>
      </c>
      <c r="DC63" s="61">
        <v>28660.92</v>
      </c>
      <c r="DD63" s="61"/>
      <c r="DE63" s="61"/>
      <c r="DF63" s="61"/>
      <c r="DG63" s="61"/>
      <c r="DH63" s="61"/>
      <c r="DI63" s="61"/>
      <c r="DJ63" s="61"/>
      <c r="DK63" s="61"/>
      <c r="DL63" s="61"/>
      <c r="DM63" s="62"/>
      <c r="DN63" s="15">
        <v>57594.64</v>
      </c>
      <c r="DO63" s="16">
        <v>-31750.68</v>
      </c>
      <c r="DP63" s="17">
        <v>0</v>
      </c>
      <c r="DQ63" s="61">
        <v>224</v>
      </c>
      <c r="DR63" s="61">
        <v>324</v>
      </c>
      <c r="DS63" s="61"/>
      <c r="DT63" s="61"/>
      <c r="DU63" s="61"/>
      <c r="DV63" s="61"/>
      <c r="DW63" s="61"/>
      <c r="DX63" s="61"/>
      <c r="DY63" s="61"/>
      <c r="DZ63" s="61"/>
      <c r="EA63" s="61"/>
      <c r="EB63" s="14"/>
      <c r="EC63" s="15">
        <f t="shared" si="6"/>
        <v>548</v>
      </c>
      <c r="ED63" s="11">
        <f>CP63</f>
        <v>0</v>
      </c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14"/>
      <c r="EP63" s="15">
        <f t="shared" si="7"/>
        <v>0</v>
      </c>
    </row>
    <row r="64" spans="1:146" s="18" customFormat="1" ht="35" customHeight="1">
      <c r="A64" s="4">
        <v>46</v>
      </c>
      <c r="B64" s="59" t="s">
        <v>435</v>
      </c>
      <c r="C64" s="219" t="s">
        <v>288</v>
      </c>
      <c r="D64" s="7">
        <v>1449900486900</v>
      </c>
      <c r="E64" s="7" t="s">
        <v>289</v>
      </c>
      <c r="F64" s="8" t="s">
        <v>34</v>
      </c>
      <c r="G64" s="9">
        <v>44984</v>
      </c>
      <c r="H64" s="10" t="s">
        <v>76</v>
      </c>
      <c r="I64" s="11">
        <v>400</v>
      </c>
      <c r="J64" s="11">
        <v>25</v>
      </c>
      <c r="K64" s="11">
        <v>10000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>
        <v>8</v>
      </c>
      <c r="W64" s="11">
        <v>400</v>
      </c>
      <c r="X64" s="11">
        <v>0</v>
      </c>
      <c r="Y64" s="11">
        <v>0</v>
      </c>
      <c r="Z64" s="11">
        <v>0</v>
      </c>
      <c r="AA64" s="11">
        <v>0</v>
      </c>
      <c r="AB64" s="11">
        <v>8</v>
      </c>
      <c r="AC64" s="11">
        <v>0</v>
      </c>
      <c r="AD64" s="12">
        <v>0</v>
      </c>
      <c r="AE64" s="11">
        <v>400</v>
      </c>
      <c r="AF64" s="11">
        <v>10800</v>
      </c>
      <c r="AG64" s="11">
        <v>1300</v>
      </c>
      <c r="AH64" s="11">
        <v>1890</v>
      </c>
      <c r="AI64" s="11">
        <v>1215</v>
      </c>
      <c r="AJ64" s="11">
        <v>1200</v>
      </c>
      <c r="AK64" s="11">
        <v>1890</v>
      </c>
      <c r="AL64" s="94">
        <v>0</v>
      </c>
      <c r="AM64" s="11">
        <v>940.92</v>
      </c>
      <c r="AN64" s="11">
        <v>0</v>
      </c>
      <c r="AO64" s="11">
        <v>0</v>
      </c>
      <c r="AP64" s="11">
        <v>0</v>
      </c>
      <c r="AQ64" s="11">
        <v>0</v>
      </c>
      <c r="AR64" s="11">
        <v>500</v>
      </c>
      <c r="AS64" s="11">
        <v>0</v>
      </c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>
        <v>16</v>
      </c>
      <c r="BV64" s="53">
        <v>1600</v>
      </c>
      <c r="BW64" s="53"/>
      <c r="BX64" s="53"/>
      <c r="BY64" s="11">
        <v>6</v>
      </c>
      <c r="BZ64" s="53">
        <v>900</v>
      </c>
      <c r="CA64" s="11">
        <v>0</v>
      </c>
      <c r="CB64" s="53">
        <v>0</v>
      </c>
      <c r="CC64" s="53"/>
      <c r="CD64" s="53"/>
      <c r="CE64" s="11">
        <v>0</v>
      </c>
      <c r="CF64" s="53">
        <v>0</v>
      </c>
      <c r="CG64" s="43">
        <v>8125</v>
      </c>
      <c r="CH64" s="11">
        <v>9735.92</v>
      </c>
      <c r="CI64" s="94">
        <v>0</v>
      </c>
      <c r="CJ64" s="11">
        <v>0</v>
      </c>
      <c r="CK64" s="13"/>
      <c r="CL64" s="13">
        <v>28660.92</v>
      </c>
      <c r="CM64" s="11"/>
      <c r="CN64" s="11"/>
      <c r="CO64" s="14">
        <v>324</v>
      </c>
      <c r="CP64" s="14"/>
      <c r="CQ64" s="14"/>
      <c r="CR64" s="94"/>
      <c r="CS64" s="94"/>
      <c r="CT64" s="11">
        <v>0</v>
      </c>
      <c r="CU64" s="11"/>
      <c r="CV64" s="11">
        <v>0</v>
      </c>
      <c r="CW64" s="11"/>
      <c r="CX64" s="11"/>
      <c r="CY64" s="11">
        <v>0</v>
      </c>
      <c r="CZ64" s="95">
        <f t="shared" si="4"/>
        <v>324</v>
      </c>
      <c r="DA64" s="13">
        <f t="shared" si="5"/>
        <v>28336.92</v>
      </c>
      <c r="DB64" s="61">
        <v>28933.72</v>
      </c>
      <c r="DC64" s="61">
        <v>28660.92</v>
      </c>
      <c r="DD64" s="61"/>
      <c r="DE64" s="61"/>
      <c r="DF64" s="61"/>
      <c r="DG64" s="61"/>
      <c r="DH64" s="61"/>
      <c r="DI64" s="61"/>
      <c r="DJ64" s="61"/>
      <c r="DK64" s="61"/>
      <c r="DL64" s="61"/>
      <c r="DM64" s="62"/>
      <c r="DN64" s="15">
        <v>57594.64</v>
      </c>
      <c r="DO64" s="16">
        <v>-31750.68</v>
      </c>
      <c r="DP64" s="17">
        <v>0</v>
      </c>
      <c r="DQ64" s="61">
        <v>224</v>
      </c>
      <c r="DR64" s="61">
        <v>324</v>
      </c>
      <c r="DS64" s="61"/>
      <c r="DT64" s="61"/>
      <c r="DU64" s="61"/>
      <c r="DV64" s="61"/>
      <c r="DW64" s="61"/>
      <c r="DX64" s="61"/>
      <c r="DY64" s="61"/>
      <c r="DZ64" s="61"/>
      <c r="EA64" s="61"/>
      <c r="EB64" s="14"/>
      <c r="EC64" s="15">
        <f t="shared" si="6"/>
        <v>548</v>
      </c>
      <c r="ED64" s="11">
        <f>CP64</f>
        <v>0</v>
      </c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14"/>
      <c r="EP64" s="15">
        <f t="shared" si="7"/>
        <v>0</v>
      </c>
    </row>
    <row r="65" spans="1:146" s="18" customFormat="1" ht="35" customHeight="1">
      <c r="A65" s="4">
        <v>47</v>
      </c>
      <c r="B65" s="59" t="s">
        <v>436</v>
      </c>
      <c r="C65" s="219" t="s">
        <v>290</v>
      </c>
      <c r="D65" s="7">
        <v>1449900486901</v>
      </c>
      <c r="E65" s="7" t="s">
        <v>291</v>
      </c>
      <c r="F65" s="8" t="s">
        <v>34</v>
      </c>
      <c r="G65" s="9">
        <v>44985</v>
      </c>
      <c r="H65" s="10" t="s">
        <v>76</v>
      </c>
      <c r="I65" s="11">
        <v>400</v>
      </c>
      <c r="J65" s="11">
        <v>25</v>
      </c>
      <c r="K65" s="11">
        <v>10000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>
        <v>8</v>
      </c>
      <c r="W65" s="11">
        <v>400</v>
      </c>
      <c r="X65" s="11">
        <v>0</v>
      </c>
      <c r="Y65" s="11">
        <v>0</v>
      </c>
      <c r="Z65" s="11">
        <v>0</v>
      </c>
      <c r="AA65" s="11">
        <v>0</v>
      </c>
      <c r="AB65" s="11">
        <v>8</v>
      </c>
      <c r="AC65" s="11">
        <v>0</v>
      </c>
      <c r="AD65" s="12">
        <v>0</v>
      </c>
      <c r="AE65" s="11">
        <v>400</v>
      </c>
      <c r="AF65" s="11">
        <v>10800</v>
      </c>
      <c r="AG65" s="11">
        <v>1300</v>
      </c>
      <c r="AH65" s="11">
        <v>1890</v>
      </c>
      <c r="AI65" s="11">
        <v>1215</v>
      </c>
      <c r="AJ65" s="11">
        <v>1200</v>
      </c>
      <c r="AK65" s="11">
        <v>1890</v>
      </c>
      <c r="AL65" s="94">
        <v>0</v>
      </c>
      <c r="AM65" s="11">
        <v>940.92</v>
      </c>
      <c r="AN65" s="11">
        <v>0</v>
      </c>
      <c r="AO65" s="11">
        <v>0</v>
      </c>
      <c r="AP65" s="11">
        <v>0</v>
      </c>
      <c r="AQ65" s="11">
        <v>0</v>
      </c>
      <c r="AR65" s="11">
        <v>500</v>
      </c>
      <c r="AS65" s="11">
        <v>0</v>
      </c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>
        <v>16</v>
      </c>
      <c r="BV65" s="53">
        <v>1600</v>
      </c>
      <c r="BW65" s="53"/>
      <c r="BX65" s="53"/>
      <c r="BY65" s="11">
        <v>6</v>
      </c>
      <c r="BZ65" s="53">
        <v>900</v>
      </c>
      <c r="CA65" s="11">
        <v>0</v>
      </c>
      <c r="CB65" s="53">
        <v>0</v>
      </c>
      <c r="CC65" s="53"/>
      <c r="CD65" s="53"/>
      <c r="CE65" s="11">
        <v>0</v>
      </c>
      <c r="CF65" s="53">
        <v>0</v>
      </c>
      <c r="CG65" s="43">
        <v>8125</v>
      </c>
      <c r="CH65" s="11">
        <v>9735.92</v>
      </c>
      <c r="CI65" s="94">
        <v>0</v>
      </c>
      <c r="CJ65" s="11">
        <v>0</v>
      </c>
      <c r="CK65" s="13"/>
      <c r="CL65" s="13">
        <v>28660.92</v>
      </c>
      <c r="CM65" s="11"/>
      <c r="CN65" s="11"/>
      <c r="CO65" s="14">
        <v>324</v>
      </c>
      <c r="CP65" s="14"/>
      <c r="CQ65" s="14"/>
      <c r="CR65" s="94"/>
      <c r="CS65" s="94"/>
      <c r="CT65" s="11">
        <v>0</v>
      </c>
      <c r="CU65" s="11"/>
      <c r="CV65" s="11">
        <v>0</v>
      </c>
      <c r="CW65" s="11"/>
      <c r="CX65" s="11"/>
      <c r="CY65" s="11">
        <v>0</v>
      </c>
      <c r="CZ65" s="95">
        <f t="shared" si="4"/>
        <v>324</v>
      </c>
      <c r="DA65" s="13">
        <f t="shared" si="5"/>
        <v>28336.92</v>
      </c>
      <c r="DB65" s="61">
        <v>28933.72</v>
      </c>
      <c r="DC65" s="61">
        <v>28660.92</v>
      </c>
      <c r="DD65" s="61"/>
      <c r="DE65" s="61"/>
      <c r="DF65" s="61"/>
      <c r="DG65" s="61"/>
      <c r="DH65" s="61"/>
      <c r="DI65" s="61"/>
      <c r="DJ65" s="61"/>
      <c r="DK65" s="61"/>
      <c r="DL65" s="61"/>
      <c r="DM65" s="62"/>
      <c r="DN65" s="15">
        <v>57594.64</v>
      </c>
      <c r="DO65" s="16">
        <v>-31750.68</v>
      </c>
      <c r="DP65" s="17">
        <v>0</v>
      </c>
      <c r="DQ65" s="61">
        <v>224</v>
      </c>
      <c r="DR65" s="61">
        <v>324</v>
      </c>
      <c r="DS65" s="61"/>
      <c r="DT65" s="61"/>
      <c r="DU65" s="61"/>
      <c r="DV65" s="61"/>
      <c r="DW65" s="61"/>
      <c r="DX65" s="61"/>
      <c r="DY65" s="61"/>
      <c r="DZ65" s="61"/>
      <c r="EA65" s="61"/>
      <c r="EB65" s="14"/>
      <c r="EC65" s="15">
        <f t="shared" si="6"/>
        <v>548</v>
      </c>
      <c r="ED65" s="11">
        <f>CP65</f>
        <v>0</v>
      </c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14"/>
      <c r="EP65" s="15">
        <f t="shared" si="7"/>
        <v>0</v>
      </c>
    </row>
    <row r="66" spans="1:146" s="18" customFormat="1" ht="35" customHeight="1">
      <c r="A66" s="4">
        <v>48</v>
      </c>
      <c r="B66" s="59" t="s">
        <v>437</v>
      </c>
      <c r="C66" s="219" t="s">
        <v>292</v>
      </c>
      <c r="D66" s="7">
        <v>1449900486902</v>
      </c>
      <c r="E66" s="7" t="s">
        <v>293</v>
      </c>
      <c r="F66" s="8" t="s">
        <v>34</v>
      </c>
      <c r="G66" s="9">
        <v>44986</v>
      </c>
      <c r="H66" s="10" t="s">
        <v>76</v>
      </c>
      <c r="I66" s="11">
        <v>400</v>
      </c>
      <c r="J66" s="11">
        <v>25</v>
      </c>
      <c r="K66" s="11">
        <v>10000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>
        <v>8</v>
      </c>
      <c r="W66" s="11">
        <v>400</v>
      </c>
      <c r="X66" s="11">
        <v>0</v>
      </c>
      <c r="Y66" s="11">
        <v>0</v>
      </c>
      <c r="Z66" s="11">
        <v>0</v>
      </c>
      <c r="AA66" s="11">
        <v>0</v>
      </c>
      <c r="AB66" s="11">
        <v>8</v>
      </c>
      <c r="AC66" s="11">
        <v>0</v>
      </c>
      <c r="AD66" s="12">
        <v>0</v>
      </c>
      <c r="AE66" s="11">
        <v>400</v>
      </c>
      <c r="AF66" s="11">
        <v>10800</v>
      </c>
      <c r="AG66" s="11">
        <v>1300</v>
      </c>
      <c r="AH66" s="11">
        <v>1890</v>
      </c>
      <c r="AI66" s="11">
        <v>1215</v>
      </c>
      <c r="AJ66" s="11">
        <v>1200</v>
      </c>
      <c r="AK66" s="11">
        <v>1890</v>
      </c>
      <c r="AL66" s="94">
        <v>0</v>
      </c>
      <c r="AM66" s="11">
        <v>940.92</v>
      </c>
      <c r="AN66" s="11">
        <v>0</v>
      </c>
      <c r="AO66" s="11">
        <v>0</v>
      </c>
      <c r="AP66" s="11">
        <v>0</v>
      </c>
      <c r="AQ66" s="11">
        <v>0</v>
      </c>
      <c r="AR66" s="11">
        <v>500</v>
      </c>
      <c r="AS66" s="11">
        <v>0</v>
      </c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>
        <v>16</v>
      </c>
      <c r="BV66" s="53">
        <v>1600</v>
      </c>
      <c r="BW66" s="53"/>
      <c r="BX66" s="53"/>
      <c r="BY66" s="11">
        <v>6</v>
      </c>
      <c r="BZ66" s="53">
        <v>900</v>
      </c>
      <c r="CA66" s="11">
        <v>0</v>
      </c>
      <c r="CB66" s="53">
        <v>0</v>
      </c>
      <c r="CC66" s="53"/>
      <c r="CD66" s="53"/>
      <c r="CE66" s="11">
        <v>0</v>
      </c>
      <c r="CF66" s="53">
        <v>0</v>
      </c>
      <c r="CG66" s="43">
        <v>8125</v>
      </c>
      <c r="CH66" s="11">
        <v>9735.92</v>
      </c>
      <c r="CI66" s="94">
        <v>0</v>
      </c>
      <c r="CJ66" s="11">
        <v>0</v>
      </c>
      <c r="CK66" s="13"/>
      <c r="CL66" s="13">
        <v>28660.92</v>
      </c>
      <c r="CM66" s="11"/>
      <c r="CN66" s="11"/>
      <c r="CO66" s="14">
        <v>324</v>
      </c>
      <c r="CP66" s="14"/>
      <c r="CQ66" s="14"/>
      <c r="CR66" s="94"/>
      <c r="CS66" s="94"/>
      <c r="CT66" s="11">
        <v>0</v>
      </c>
      <c r="CU66" s="11"/>
      <c r="CV66" s="11">
        <v>0</v>
      </c>
      <c r="CW66" s="11"/>
      <c r="CX66" s="11"/>
      <c r="CY66" s="11">
        <v>0</v>
      </c>
      <c r="CZ66" s="95">
        <f t="shared" si="4"/>
        <v>324</v>
      </c>
      <c r="DA66" s="13">
        <f t="shared" si="5"/>
        <v>28336.92</v>
      </c>
      <c r="DB66" s="61">
        <v>28933.72</v>
      </c>
      <c r="DC66" s="61">
        <v>28660.92</v>
      </c>
      <c r="DD66" s="61"/>
      <c r="DE66" s="61"/>
      <c r="DF66" s="61"/>
      <c r="DG66" s="61"/>
      <c r="DH66" s="61"/>
      <c r="DI66" s="61"/>
      <c r="DJ66" s="61"/>
      <c r="DK66" s="61"/>
      <c r="DL66" s="61"/>
      <c r="DM66" s="62"/>
      <c r="DN66" s="15">
        <v>57594.64</v>
      </c>
      <c r="DO66" s="16">
        <v>-31750.68</v>
      </c>
      <c r="DP66" s="17">
        <v>0</v>
      </c>
      <c r="DQ66" s="61">
        <v>224</v>
      </c>
      <c r="DR66" s="61">
        <v>324</v>
      </c>
      <c r="DS66" s="61"/>
      <c r="DT66" s="61"/>
      <c r="DU66" s="61"/>
      <c r="DV66" s="61"/>
      <c r="DW66" s="61"/>
      <c r="DX66" s="61"/>
      <c r="DY66" s="61"/>
      <c r="DZ66" s="61"/>
      <c r="EA66" s="61"/>
      <c r="EB66" s="14"/>
      <c r="EC66" s="15">
        <f t="shared" si="6"/>
        <v>548</v>
      </c>
      <c r="ED66" s="11">
        <f>CP66</f>
        <v>0</v>
      </c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14"/>
      <c r="EP66" s="15">
        <f t="shared" si="7"/>
        <v>0</v>
      </c>
    </row>
    <row r="67" spans="1:146" s="18" customFormat="1" ht="35" customHeight="1">
      <c r="A67" s="4">
        <v>49</v>
      </c>
      <c r="B67" s="59" t="s">
        <v>438</v>
      </c>
      <c r="C67" s="219" t="s">
        <v>294</v>
      </c>
      <c r="D67" s="7">
        <v>1449900486903</v>
      </c>
      <c r="E67" s="7" t="s">
        <v>295</v>
      </c>
      <c r="F67" s="8" t="s">
        <v>34</v>
      </c>
      <c r="G67" s="9">
        <v>44987</v>
      </c>
      <c r="H67" s="10" t="s">
        <v>76</v>
      </c>
      <c r="I67" s="11">
        <v>400</v>
      </c>
      <c r="J67" s="11">
        <v>25</v>
      </c>
      <c r="K67" s="11">
        <v>10000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>
        <v>8</v>
      </c>
      <c r="W67" s="11">
        <v>400</v>
      </c>
      <c r="X67" s="11">
        <v>0</v>
      </c>
      <c r="Y67" s="11">
        <v>0</v>
      </c>
      <c r="Z67" s="11">
        <v>0</v>
      </c>
      <c r="AA67" s="11">
        <v>0</v>
      </c>
      <c r="AB67" s="11">
        <v>8</v>
      </c>
      <c r="AC67" s="11">
        <v>0</v>
      </c>
      <c r="AD67" s="12">
        <v>0</v>
      </c>
      <c r="AE67" s="11">
        <v>400</v>
      </c>
      <c r="AF67" s="11">
        <v>10800</v>
      </c>
      <c r="AG67" s="11">
        <v>1300</v>
      </c>
      <c r="AH67" s="11">
        <v>1890</v>
      </c>
      <c r="AI67" s="11">
        <v>1215</v>
      </c>
      <c r="AJ67" s="11">
        <v>1200</v>
      </c>
      <c r="AK67" s="11">
        <v>1890</v>
      </c>
      <c r="AL67" s="94">
        <v>0</v>
      </c>
      <c r="AM67" s="11">
        <v>940.92</v>
      </c>
      <c r="AN67" s="11">
        <v>0</v>
      </c>
      <c r="AO67" s="11">
        <v>0</v>
      </c>
      <c r="AP67" s="11">
        <v>0</v>
      </c>
      <c r="AQ67" s="11">
        <v>0</v>
      </c>
      <c r="AR67" s="11">
        <v>500</v>
      </c>
      <c r="AS67" s="11">
        <v>0</v>
      </c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>
        <v>16</v>
      </c>
      <c r="BV67" s="53">
        <v>1600</v>
      </c>
      <c r="BW67" s="53"/>
      <c r="BX67" s="53"/>
      <c r="BY67" s="11">
        <v>6</v>
      </c>
      <c r="BZ67" s="53">
        <v>900</v>
      </c>
      <c r="CA67" s="11">
        <v>0</v>
      </c>
      <c r="CB67" s="53">
        <v>0</v>
      </c>
      <c r="CC67" s="53"/>
      <c r="CD67" s="53"/>
      <c r="CE67" s="11">
        <v>0</v>
      </c>
      <c r="CF67" s="53">
        <v>0</v>
      </c>
      <c r="CG67" s="43">
        <v>8125</v>
      </c>
      <c r="CH67" s="11">
        <v>9735.92</v>
      </c>
      <c r="CI67" s="94">
        <v>0</v>
      </c>
      <c r="CJ67" s="11">
        <v>0</v>
      </c>
      <c r="CK67" s="13"/>
      <c r="CL67" s="13">
        <v>28660.92</v>
      </c>
      <c r="CM67" s="11"/>
      <c r="CN67" s="11"/>
      <c r="CO67" s="14">
        <v>324</v>
      </c>
      <c r="CP67" s="14"/>
      <c r="CQ67" s="14"/>
      <c r="CR67" s="94"/>
      <c r="CS67" s="94"/>
      <c r="CT67" s="11">
        <v>0</v>
      </c>
      <c r="CU67" s="11"/>
      <c r="CV67" s="11">
        <v>0</v>
      </c>
      <c r="CW67" s="11"/>
      <c r="CX67" s="11"/>
      <c r="CY67" s="11">
        <v>0</v>
      </c>
      <c r="CZ67" s="95">
        <f t="shared" si="4"/>
        <v>324</v>
      </c>
      <c r="DA67" s="13">
        <f t="shared" si="5"/>
        <v>28336.92</v>
      </c>
      <c r="DB67" s="61">
        <v>28933.72</v>
      </c>
      <c r="DC67" s="61">
        <v>28660.92</v>
      </c>
      <c r="DD67" s="61"/>
      <c r="DE67" s="61"/>
      <c r="DF67" s="61"/>
      <c r="DG67" s="61"/>
      <c r="DH67" s="61"/>
      <c r="DI67" s="61"/>
      <c r="DJ67" s="61"/>
      <c r="DK67" s="61"/>
      <c r="DL67" s="61"/>
      <c r="DM67" s="62"/>
      <c r="DN67" s="15">
        <v>57594.64</v>
      </c>
      <c r="DO67" s="16">
        <v>-31750.68</v>
      </c>
      <c r="DP67" s="17">
        <v>0</v>
      </c>
      <c r="DQ67" s="61">
        <v>224</v>
      </c>
      <c r="DR67" s="61">
        <v>324</v>
      </c>
      <c r="DS67" s="61"/>
      <c r="DT67" s="61"/>
      <c r="DU67" s="61"/>
      <c r="DV67" s="61"/>
      <c r="DW67" s="61"/>
      <c r="DX67" s="61"/>
      <c r="DY67" s="61"/>
      <c r="DZ67" s="61"/>
      <c r="EA67" s="61"/>
      <c r="EB67" s="14"/>
      <c r="EC67" s="15">
        <f t="shared" si="6"/>
        <v>548</v>
      </c>
      <c r="ED67" s="11">
        <f>CP67</f>
        <v>0</v>
      </c>
      <c r="EE67" s="61"/>
      <c r="EF67" s="61"/>
      <c r="EG67" s="61"/>
      <c r="EH67" s="61"/>
      <c r="EI67" s="61"/>
      <c r="EJ67" s="61"/>
      <c r="EK67" s="61"/>
      <c r="EL67" s="61"/>
      <c r="EM67" s="61"/>
      <c r="EN67" s="61"/>
      <c r="EO67" s="14"/>
      <c r="EP67" s="15">
        <f t="shared" si="7"/>
        <v>0</v>
      </c>
    </row>
    <row r="68" spans="1:146" s="18" customFormat="1" ht="35" customHeight="1">
      <c r="A68" s="4">
        <v>50</v>
      </c>
      <c r="B68" s="59" t="s">
        <v>439</v>
      </c>
      <c r="C68" s="219" t="s">
        <v>296</v>
      </c>
      <c r="D68" s="7">
        <v>1449900486904</v>
      </c>
      <c r="E68" s="7" t="s">
        <v>297</v>
      </c>
      <c r="F68" s="8" t="s">
        <v>34</v>
      </c>
      <c r="G68" s="9">
        <v>44988</v>
      </c>
      <c r="H68" s="10" t="s">
        <v>76</v>
      </c>
      <c r="I68" s="11">
        <v>400</v>
      </c>
      <c r="J68" s="11">
        <v>25</v>
      </c>
      <c r="K68" s="11">
        <v>10000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>
        <v>8</v>
      </c>
      <c r="W68" s="11">
        <v>400</v>
      </c>
      <c r="X68" s="11">
        <v>0</v>
      </c>
      <c r="Y68" s="11">
        <v>0</v>
      </c>
      <c r="Z68" s="11">
        <v>0</v>
      </c>
      <c r="AA68" s="11">
        <v>0</v>
      </c>
      <c r="AB68" s="11">
        <v>8</v>
      </c>
      <c r="AC68" s="11">
        <v>0</v>
      </c>
      <c r="AD68" s="12">
        <v>0</v>
      </c>
      <c r="AE68" s="11">
        <v>400</v>
      </c>
      <c r="AF68" s="11">
        <v>10800</v>
      </c>
      <c r="AG68" s="11">
        <v>1300</v>
      </c>
      <c r="AH68" s="11">
        <v>1890</v>
      </c>
      <c r="AI68" s="11">
        <v>1215</v>
      </c>
      <c r="AJ68" s="11">
        <v>1200</v>
      </c>
      <c r="AK68" s="11">
        <v>1890</v>
      </c>
      <c r="AL68" s="94">
        <v>0</v>
      </c>
      <c r="AM68" s="11">
        <v>940.92</v>
      </c>
      <c r="AN68" s="11">
        <v>0</v>
      </c>
      <c r="AO68" s="11">
        <v>0</v>
      </c>
      <c r="AP68" s="11">
        <v>0</v>
      </c>
      <c r="AQ68" s="11">
        <v>0</v>
      </c>
      <c r="AR68" s="11">
        <v>500</v>
      </c>
      <c r="AS68" s="11">
        <v>0</v>
      </c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>
        <v>16</v>
      </c>
      <c r="BV68" s="53">
        <v>1600</v>
      </c>
      <c r="BW68" s="53"/>
      <c r="BX68" s="53"/>
      <c r="BY68" s="11">
        <v>6</v>
      </c>
      <c r="BZ68" s="53">
        <v>900</v>
      </c>
      <c r="CA68" s="11">
        <v>0</v>
      </c>
      <c r="CB68" s="53">
        <v>0</v>
      </c>
      <c r="CC68" s="53"/>
      <c r="CD68" s="53"/>
      <c r="CE68" s="11">
        <v>0</v>
      </c>
      <c r="CF68" s="53">
        <v>0</v>
      </c>
      <c r="CG68" s="43">
        <v>8125</v>
      </c>
      <c r="CH68" s="11">
        <v>9735.92</v>
      </c>
      <c r="CI68" s="94">
        <v>0</v>
      </c>
      <c r="CJ68" s="11">
        <v>0</v>
      </c>
      <c r="CK68" s="13"/>
      <c r="CL68" s="13">
        <v>28660.92</v>
      </c>
      <c r="CM68" s="11"/>
      <c r="CN68" s="11"/>
      <c r="CO68" s="14">
        <v>324</v>
      </c>
      <c r="CP68" s="14"/>
      <c r="CQ68" s="14"/>
      <c r="CR68" s="94"/>
      <c r="CS68" s="94"/>
      <c r="CT68" s="11">
        <v>0</v>
      </c>
      <c r="CU68" s="11"/>
      <c r="CV68" s="11">
        <v>0</v>
      </c>
      <c r="CW68" s="11"/>
      <c r="CX68" s="11"/>
      <c r="CY68" s="11">
        <v>0</v>
      </c>
      <c r="CZ68" s="95">
        <f t="shared" si="4"/>
        <v>324</v>
      </c>
      <c r="DA68" s="13">
        <f t="shared" si="5"/>
        <v>28336.92</v>
      </c>
      <c r="DB68" s="61">
        <v>28933.72</v>
      </c>
      <c r="DC68" s="61">
        <v>28660.92</v>
      </c>
      <c r="DD68" s="61"/>
      <c r="DE68" s="61"/>
      <c r="DF68" s="61"/>
      <c r="DG68" s="61"/>
      <c r="DH68" s="61"/>
      <c r="DI68" s="61"/>
      <c r="DJ68" s="61"/>
      <c r="DK68" s="61"/>
      <c r="DL68" s="61"/>
      <c r="DM68" s="62"/>
      <c r="DN68" s="15">
        <v>57594.64</v>
      </c>
      <c r="DO68" s="16">
        <v>-31750.68</v>
      </c>
      <c r="DP68" s="17">
        <v>0</v>
      </c>
      <c r="DQ68" s="61">
        <v>224</v>
      </c>
      <c r="DR68" s="61">
        <v>324</v>
      </c>
      <c r="DS68" s="61"/>
      <c r="DT68" s="61"/>
      <c r="DU68" s="61"/>
      <c r="DV68" s="61"/>
      <c r="DW68" s="61"/>
      <c r="DX68" s="61"/>
      <c r="DY68" s="61"/>
      <c r="DZ68" s="61"/>
      <c r="EA68" s="61"/>
      <c r="EB68" s="14"/>
      <c r="EC68" s="15">
        <f t="shared" si="6"/>
        <v>548</v>
      </c>
      <c r="ED68" s="11">
        <f>CP68</f>
        <v>0</v>
      </c>
      <c r="EE68" s="61"/>
      <c r="EF68" s="61"/>
      <c r="EG68" s="61"/>
      <c r="EH68" s="61"/>
      <c r="EI68" s="61"/>
      <c r="EJ68" s="61"/>
      <c r="EK68" s="61"/>
      <c r="EL68" s="61"/>
      <c r="EM68" s="61"/>
      <c r="EN68" s="61"/>
      <c r="EO68" s="14"/>
      <c r="EP68" s="15">
        <f t="shared" si="7"/>
        <v>0</v>
      </c>
    </row>
    <row r="69" spans="1:146" s="18" customFormat="1" ht="35" customHeight="1">
      <c r="A69" s="4">
        <v>51</v>
      </c>
      <c r="B69" s="59" t="s">
        <v>440</v>
      </c>
      <c r="C69" s="219" t="s">
        <v>298</v>
      </c>
      <c r="D69" s="7">
        <v>1449900486905</v>
      </c>
      <c r="E69" s="7" t="s">
        <v>299</v>
      </c>
      <c r="F69" s="8" t="s">
        <v>34</v>
      </c>
      <c r="G69" s="9">
        <v>44989</v>
      </c>
      <c r="H69" s="10" t="s">
        <v>76</v>
      </c>
      <c r="I69" s="11">
        <v>400</v>
      </c>
      <c r="J69" s="11">
        <v>25</v>
      </c>
      <c r="K69" s="11">
        <v>10000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>
        <v>8</v>
      </c>
      <c r="W69" s="11">
        <v>400</v>
      </c>
      <c r="X69" s="11">
        <v>0</v>
      </c>
      <c r="Y69" s="11">
        <v>0</v>
      </c>
      <c r="Z69" s="11">
        <v>0</v>
      </c>
      <c r="AA69" s="11">
        <v>0</v>
      </c>
      <c r="AB69" s="11">
        <v>8</v>
      </c>
      <c r="AC69" s="11">
        <v>0</v>
      </c>
      <c r="AD69" s="12">
        <v>0</v>
      </c>
      <c r="AE69" s="11">
        <v>400</v>
      </c>
      <c r="AF69" s="11">
        <v>10800</v>
      </c>
      <c r="AG69" s="11">
        <v>1300</v>
      </c>
      <c r="AH69" s="11">
        <v>1890</v>
      </c>
      <c r="AI69" s="11">
        <v>1215</v>
      </c>
      <c r="AJ69" s="11">
        <v>1200</v>
      </c>
      <c r="AK69" s="11">
        <v>1890</v>
      </c>
      <c r="AL69" s="94">
        <v>0</v>
      </c>
      <c r="AM69" s="11">
        <v>940.92</v>
      </c>
      <c r="AN69" s="11">
        <v>0</v>
      </c>
      <c r="AO69" s="11">
        <v>0</v>
      </c>
      <c r="AP69" s="11">
        <v>0</v>
      </c>
      <c r="AQ69" s="11">
        <v>0</v>
      </c>
      <c r="AR69" s="11">
        <v>500</v>
      </c>
      <c r="AS69" s="11">
        <v>0</v>
      </c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>
        <v>16</v>
      </c>
      <c r="BV69" s="53">
        <v>1600</v>
      </c>
      <c r="BW69" s="53"/>
      <c r="BX69" s="53"/>
      <c r="BY69" s="11">
        <v>6</v>
      </c>
      <c r="BZ69" s="53">
        <v>900</v>
      </c>
      <c r="CA69" s="11">
        <v>0</v>
      </c>
      <c r="CB69" s="53">
        <v>0</v>
      </c>
      <c r="CC69" s="53"/>
      <c r="CD69" s="53"/>
      <c r="CE69" s="11">
        <v>0</v>
      </c>
      <c r="CF69" s="53">
        <v>0</v>
      </c>
      <c r="CG69" s="43">
        <v>8125</v>
      </c>
      <c r="CH69" s="11">
        <v>9735.92</v>
      </c>
      <c r="CI69" s="94">
        <v>0</v>
      </c>
      <c r="CJ69" s="11">
        <v>0</v>
      </c>
      <c r="CK69" s="13"/>
      <c r="CL69" s="13">
        <v>28660.92</v>
      </c>
      <c r="CM69" s="11"/>
      <c r="CN69" s="11"/>
      <c r="CO69" s="14">
        <v>324</v>
      </c>
      <c r="CP69" s="14"/>
      <c r="CQ69" s="14"/>
      <c r="CR69" s="94"/>
      <c r="CS69" s="94"/>
      <c r="CT69" s="11">
        <v>0</v>
      </c>
      <c r="CU69" s="11"/>
      <c r="CV69" s="11">
        <v>0</v>
      </c>
      <c r="CW69" s="11"/>
      <c r="CX69" s="11"/>
      <c r="CY69" s="11">
        <v>0</v>
      </c>
      <c r="CZ69" s="95">
        <f t="shared" si="4"/>
        <v>324</v>
      </c>
      <c r="DA69" s="13">
        <f t="shared" si="5"/>
        <v>28336.92</v>
      </c>
      <c r="DB69" s="61">
        <v>28933.72</v>
      </c>
      <c r="DC69" s="61">
        <v>28660.92</v>
      </c>
      <c r="DD69" s="61"/>
      <c r="DE69" s="61"/>
      <c r="DF69" s="61"/>
      <c r="DG69" s="61"/>
      <c r="DH69" s="61"/>
      <c r="DI69" s="61"/>
      <c r="DJ69" s="61"/>
      <c r="DK69" s="61"/>
      <c r="DL69" s="61"/>
      <c r="DM69" s="62"/>
      <c r="DN69" s="15">
        <v>57594.64</v>
      </c>
      <c r="DO69" s="16">
        <v>-31750.68</v>
      </c>
      <c r="DP69" s="17">
        <v>0</v>
      </c>
      <c r="DQ69" s="61">
        <v>224</v>
      </c>
      <c r="DR69" s="61">
        <v>324</v>
      </c>
      <c r="DS69" s="61"/>
      <c r="DT69" s="61"/>
      <c r="DU69" s="61"/>
      <c r="DV69" s="61"/>
      <c r="DW69" s="61"/>
      <c r="DX69" s="61"/>
      <c r="DY69" s="61"/>
      <c r="DZ69" s="61"/>
      <c r="EA69" s="61"/>
      <c r="EB69" s="14"/>
      <c r="EC69" s="15">
        <f t="shared" si="6"/>
        <v>548</v>
      </c>
      <c r="ED69" s="11">
        <f>CP69</f>
        <v>0</v>
      </c>
      <c r="EE69" s="61"/>
      <c r="EF69" s="61"/>
      <c r="EG69" s="61"/>
      <c r="EH69" s="61"/>
      <c r="EI69" s="61"/>
      <c r="EJ69" s="61"/>
      <c r="EK69" s="61"/>
      <c r="EL69" s="61"/>
      <c r="EM69" s="61"/>
      <c r="EN69" s="61"/>
      <c r="EO69" s="14"/>
      <c r="EP69" s="15">
        <f t="shared" si="7"/>
        <v>0</v>
      </c>
    </row>
    <row r="70" spans="1:146" s="18" customFormat="1" ht="35" customHeight="1">
      <c r="A70" s="4">
        <v>52</v>
      </c>
      <c r="B70" s="59" t="s">
        <v>441</v>
      </c>
      <c r="C70" s="219" t="s">
        <v>300</v>
      </c>
      <c r="D70" s="7">
        <v>1449900486906</v>
      </c>
      <c r="E70" s="7" t="s">
        <v>301</v>
      </c>
      <c r="F70" s="8" t="s">
        <v>34</v>
      </c>
      <c r="G70" s="9">
        <v>44990</v>
      </c>
      <c r="H70" s="10" t="s">
        <v>76</v>
      </c>
      <c r="I70" s="11">
        <v>400</v>
      </c>
      <c r="J70" s="11">
        <v>25</v>
      </c>
      <c r="K70" s="11">
        <v>10000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>
        <v>8</v>
      </c>
      <c r="W70" s="11">
        <v>400</v>
      </c>
      <c r="X70" s="11">
        <v>0</v>
      </c>
      <c r="Y70" s="11">
        <v>0</v>
      </c>
      <c r="Z70" s="11">
        <v>0</v>
      </c>
      <c r="AA70" s="11">
        <v>0</v>
      </c>
      <c r="AB70" s="11">
        <v>8</v>
      </c>
      <c r="AC70" s="11">
        <v>0</v>
      </c>
      <c r="AD70" s="12">
        <v>0</v>
      </c>
      <c r="AE70" s="11">
        <v>400</v>
      </c>
      <c r="AF70" s="11">
        <v>10800</v>
      </c>
      <c r="AG70" s="11">
        <v>1300</v>
      </c>
      <c r="AH70" s="11">
        <v>1890</v>
      </c>
      <c r="AI70" s="11">
        <v>1215</v>
      </c>
      <c r="AJ70" s="11">
        <v>1200</v>
      </c>
      <c r="AK70" s="11">
        <v>1890</v>
      </c>
      <c r="AL70" s="94">
        <v>0</v>
      </c>
      <c r="AM70" s="11">
        <v>940.92</v>
      </c>
      <c r="AN70" s="11">
        <v>0</v>
      </c>
      <c r="AO70" s="11">
        <v>0</v>
      </c>
      <c r="AP70" s="11">
        <v>0</v>
      </c>
      <c r="AQ70" s="11">
        <v>0</v>
      </c>
      <c r="AR70" s="11">
        <v>500</v>
      </c>
      <c r="AS70" s="11">
        <v>0</v>
      </c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>
        <v>16</v>
      </c>
      <c r="BV70" s="53">
        <v>1600</v>
      </c>
      <c r="BW70" s="53"/>
      <c r="BX70" s="53"/>
      <c r="BY70" s="11">
        <v>6</v>
      </c>
      <c r="BZ70" s="53">
        <v>900</v>
      </c>
      <c r="CA70" s="11">
        <v>0</v>
      </c>
      <c r="CB70" s="53">
        <v>0</v>
      </c>
      <c r="CC70" s="53"/>
      <c r="CD70" s="53"/>
      <c r="CE70" s="11">
        <v>0</v>
      </c>
      <c r="CF70" s="53">
        <v>0</v>
      </c>
      <c r="CG70" s="43">
        <v>8125</v>
      </c>
      <c r="CH70" s="11">
        <v>9735.92</v>
      </c>
      <c r="CI70" s="94">
        <v>0</v>
      </c>
      <c r="CJ70" s="11">
        <v>0</v>
      </c>
      <c r="CK70" s="13"/>
      <c r="CL70" s="13">
        <v>28660.92</v>
      </c>
      <c r="CM70" s="11"/>
      <c r="CN70" s="11"/>
      <c r="CO70" s="14">
        <v>324</v>
      </c>
      <c r="CP70" s="14"/>
      <c r="CQ70" s="14"/>
      <c r="CR70" s="94"/>
      <c r="CS70" s="94"/>
      <c r="CT70" s="11">
        <v>0</v>
      </c>
      <c r="CU70" s="11"/>
      <c r="CV70" s="11">
        <v>0</v>
      </c>
      <c r="CW70" s="11"/>
      <c r="CX70" s="11"/>
      <c r="CY70" s="11">
        <v>0</v>
      </c>
      <c r="CZ70" s="95">
        <f t="shared" si="4"/>
        <v>324</v>
      </c>
      <c r="DA70" s="13">
        <f t="shared" si="5"/>
        <v>28336.92</v>
      </c>
      <c r="DB70" s="61">
        <v>28933.72</v>
      </c>
      <c r="DC70" s="61">
        <v>28660.92</v>
      </c>
      <c r="DD70" s="61"/>
      <c r="DE70" s="61"/>
      <c r="DF70" s="61"/>
      <c r="DG70" s="61"/>
      <c r="DH70" s="61"/>
      <c r="DI70" s="61"/>
      <c r="DJ70" s="61"/>
      <c r="DK70" s="61"/>
      <c r="DL70" s="61"/>
      <c r="DM70" s="62"/>
      <c r="DN70" s="15">
        <v>57594.64</v>
      </c>
      <c r="DO70" s="16">
        <v>-31750.68</v>
      </c>
      <c r="DP70" s="17">
        <v>0</v>
      </c>
      <c r="DQ70" s="61">
        <v>224</v>
      </c>
      <c r="DR70" s="61">
        <v>324</v>
      </c>
      <c r="DS70" s="61"/>
      <c r="DT70" s="61"/>
      <c r="DU70" s="61"/>
      <c r="DV70" s="61"/>
      <c r="DW70" s="61"/>
      <c r="DX70" s="61"/>
      <c r="DY70" s="61"/>
      <c r="DZ70" s="61"/>
      <c r="EA70" s="61"/>
      <c r="EB70" s="14"/>
      <c r="EC70" s="15">
        <f t="shared" si="6"/>
        <v>548</v>
      </c>
      <c r="ED70" s="11">
        <f>CP70</f>
        <v>0</v>
      </c>
      <c r="EE70" s="61"/>
      <c r="EF70" s="61"/>
      <c r="EG70" s="61"/>
      <c r="EH70" s="61"/>
      <c r="EI70" s="61"/>
      <c r="EJ70" s="61"/>
      <c r="EK70" s="61"/>
      <c r="EL70" s="61"/>
      <c r="EM70" s="61"/>
      <c r="EN70" s="61"/>
      <c r="EO70" s="14"/>
      <c r="EP70" s="15">
        <f t="shared" si="7"/>
        <v>0</v>
      </c>
    </row>
    <row r="71" spans="1:146" s="18" customFormat="1" ht="35" customHeight="1">
      <c r="A71" s="4">
        <v>53</v>
      </c>
      <c r="B71" s="59" t="s">
        <v>442</v>
      </c>
      <c r="C71" s="219" t="s">
        <v>302</v>
      </c>
      <c r="D71" s="7">
        <v>1449900486907</v>
      </c>
      <c r="E71" s="7" t="s">
        <v>303</v>
      </c>
      <c r="F71" s="8" t="s">
        <v>34</v>
      </c>
      <c r="G71" s="9">
        <v>44991</v>
      </c>
      <c r="H71" s="10" t="s">
        <v>76</v>
      </c>
      <c r="I71" s="11">
        <v>400</v>
      </c>
      <c r="J71" s="11">
        <v>25</v>
      </c>
      <c r="K71" s="11">
        <v>10000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>
        <v>8</v>
      </c>
      <c r="W71" s="11">
        <v>400</v>
      </c>
      <c r="X71" s="11">
        <v>0</v>
      </c>
      <c r="Y71" s="11">
        <v>0</v>
      </c>
      <c r="Z71" s="11">
        <v>0</v>
      </c>
      <c r="AA71" s="11">
        <v>0</v>
      </c>
      <c r="AB71" s="11">
        <v>8</v>
      </c>
      <c r="AC71" s="11">
        <v>0</v>
      </c>
      <c r="AD71" s="12">
        <v>0</v>
      </c>
      <c r="AE71" s="11">
        <v>400</v>
      </c>
      <c r="AF71" s="11">
        <v>10800</v>
      </c>
      <c r="AG71" s="11">
        <v>1300</v>
      </c>
      <c r="AH71" s="11">
        <v>1890</v>
      </c>
      <c r="AI71" s="11">
        <v>1215</v>
      </c>
      <c r="AJ71" s="11">
        <v>1200</v>
      </c>
      <c r="AK71" s="11">
        <v>1890</v>
      </c>
      <c r="AL71" s="94">
        <v>0</v>
      </c>
      <c r="AM71" s="11">
        <v>940.92</v>
      </c>
      <c r="AN71" s="11">
        <v>0</v>
      </c>
      <c r="AO71" s="11">
        <v>0</v>
      </c>
      <c r="AP71" s="11">
        <v>0</v>
      </c>
      <c r="AQ71" s="11">
        <v>0</v>
      </c>
      <c r="AR71" s="11">
        <v>500</v>
      </c>
      <c r="AS71" s="11">
        <v>0</v>
      </c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>
        <v>16</v>
      </c>
      <c r="BV71" s="53">
        <v>1600</v>
      </c>
      <c r="BW71" s="53"/>
      <c r="BX71" s="53"/>
      <c r="BY71" s="11">
        <v>6</v>
      </c>
      <c r="BZ71" s="53">
        <v>900</v>
      </c>
      <c r="CA71" s="11">
        <v>0</v>
      </c>
      <c r="CB71" s="53">
        <v>0</v>
      </c>
      <c r="CC71" s="53"/>
      <c r="CD71" s="53"/>
      <c r="CE71" s="11">
        <v>0</v>
      </c>
      <c r="CF71" s="53">
        <v>0</v>
      </c>
      <c r="CG71" s="43">
        <v>8125</v>
      </c>
      <c r="CH71" s="11">
        <v>9735.92</v>
      </c>
      <c r="CI71" s="94">
        <v>0</v>
      </c>
      <c r="CJ71" s="11">
        <v>0</v>
      </c>
      <c r="CK71" s="13"/>
      <c r="CL71" s="13">
        <v>28660.92</v>
      </c>
      <c r="CM71" s="11"/>
      <c r="CN71" s="11"/>
      <c r="CO71" s="14">
        <v>324</v>
      </c>
      <c r="CP71" s="14"/>
      <c r="CQ71" s="14"/>
      <c r="CR71" s="94"/>
      <c r="CS71" s="94"/>
      <c r="CT71" s="11">
        <v>0</v>
      </c>
      <c r="CU71" s="11"/>
      <c r="CV71" s="11">
        <v>0</v>
      </c>
      <c r="CW71" s="11"/>
      <c r="CX71" s="11"/>
      <c r="CY71" s="11">
        <v>0</v>
      </c>
      <c r="CZ71" s="95">
        <f t="shared" si="4"/>
        <v>324</v>
      </c>
      <c r="DA71" s="13">
        <f t="shared" si="5"/>
        <v>28336.92</v>
      </c>
      <c r="DB71" s="61">
        <v>28933.72</v>
      </c>
      <c r="DC71" s="61">
        <v>28660.92</v>
      </c>
      <c r="DD71" s="61"/>
      <c r="DE71" s="61"/>
      <c r="DF71" s="61"/>
      <c r="DG71" s="61"/>
      <c r="DH71" s="61"/>
      <c r="DI71" s="61"/>
      <c r="DJ71" s="61"/>
      <c r="DK71" s="61"/>
      <c r="DL71" s="61"/>
      <c r="DM71" s="62"/>
      <c r="DN71" s="15">
        <v>57594.64</v>
      </c>
      <c r="DO71" s="16">
        <v>-31750.68</v>
      </c>
      <c r="DP71" s="17">
        <v>0</v>
      </c>
      <c r="DQ71" s="61">
        <v>224</v>
      </c>
      <c r="DR71" s="61">
        <v>324</v>
      </c>
      <c r="DS71" s="61"/>
      <c r="DT71" s="61"/>
      <c r="DU71" s="61"/>
      <c r="DV71" s="61"/>
      <c r="DW71" s="61"/>
      <c r="DX71" s="61"/>
      <c r="DY71" s="61"/>
      <c r="DZ71" s="61"/>
      <c r="EA71" s="61"/>
      <c r="EB71" s="14"/>
      <c r="EC71" s="15">
        <f t="shared" si="6"/>
        <v>548</v>
      </c>
      <c r="ED71" s="11">
        <f>CP71</f>
        <v>0</v>
      </c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14"/>
      <c r="EP71" s="15">
        <f t="shared" si="7"/>
        <v>0</v>
      </c>
    </row>
    <row r="72" spans="1:146" s="18" customFormat="1" ht="35" customHeight="1">
      <c r="A72" s="4">
        <v>54</v>
      </c>
      <c r="B72" s="59" t="s">
        <v>443</v>
      </c>
      <c r="C72" s="219" t="s">
        <v>304</v>
      </c>
      <c r="D72" s="7">
        <v>1449900486908</v>
      </c>
      <c r="E72" s="7" t="s">
        <v>305</v>
      </c>
      <c r="F72" s="8" t="s">
        <v>34</v>
      </c>
      <c r="G72" s="9">
        <v>44992</v>
      </c>
      <c r="H72" s="10" t="s">
        <v>76</v>
      </c>
      <c r="I72" s="11">
        <v>400</v>
      </c>
      <c r="J72" s="11">
        <v>25</v>
      </c>
      <c r="K72" s="11">
        <v>10000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>
        <v>8</v>
      </c>
      <c r="W72" s="11">
        <v>400</v>
      </c>
      <c r="X72" s="11">
        <v>0</v>
      </c>
      <c r="Y72" s="11">
        <v>0</v>
      </c>
      <c r="Z72" s="11">
        <v>0</v>
      </c>
      <c r="AA72" s="11">
        <v>0</v>
      </c>
      <c r="AB72" s="11">
        <v>8</v>
      </c>
      <c r="AC72" s="11">
        <v>0</v>
      </c>
      <c r="AD72" s="12">
        <v>0</v>
      </c>
      <c r="AE72" s="11">
        <v>400</v>
      </c>
      <c r="AF72" s="11">
        <v>10800</v>
      </c>
      <c r="AG72" s="11">
        <v>1300</v>
      </c>
      <c r="AH72" s="11">
        <v>1890</v>
      </c>
      <c r="AI72" s="11">
        <v>1215</v>
      </c>
      <c r="AJ72" s="11">
        <v>1200</v>
      </c>
      <c r="AK72" s="11">
        <v>1890</v>
      </c>
      <c r="AL72" s="94">
        <v>0</v>
      </c>
      <c r="AM72" s="11">
        <v>940.92</v>
      </c>
      <c r="AN72" s="11">
        <v>0</v>
      </c>
      <c r="AO72" s="11">
        <v>0</v>
      </c>
      <c r="AP72" s="11">
        <v>0</v>
      </c>
      <c r="AQ72" s="11">
        <v>0</v>
      </c>
      <c r="AR72" s="11">
        <v>500</v>
      </c>
      <c r="AS72" s="11">
        <v>0</v>
      </c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>
        <v>16</v>
      </c>
      <c r="BV72" s="53">
        <v>1600</v>
      </c>
      <c r="BW72" s="53"/>
      <c r="BX72" s="53"/>
      <c r="BY72" s="11">
        <v>6</v>
      </c>
      <c r="BZ72" s="53">
        <v>900</v>
      </c>
      <c r="CA72" s="11">
        <v>0</v>
      </c>
      <c r="CB72" s="53">
        <v>0</v>
      </c>
      <c r="CC72" s="53"/>
      <c r="CD72" s="53"/>
      <c r="CE72" s="11">
        <v>0</v>
      </c>
      <c r="CF72" s="53">
        <v>0</v>
      </c>
      <c r="CG72" s="43">
        <v>8125</v>
      </c>
      <c r="CH72" s="11">
        <v>9735.92</v>
      </c>
      <c r="CI72" s="94">
        <v>0</v>
      </c>
      <c r="CJ72" s="11">
        <v>0</v>
      </c>
      <c r="CK72" s="13"/>
      <c r="CL72" s="13">
        <v>28660.92</v>
      </c>
      <c r="CM72" s="11"/>
      <c r="CN72" s="11"/>
      <c r="CO72" s="14">
        <v>324</v>
      </c>
      <c r="CP72" s="14"/>
      <c r="CQ72" s="14"/>
      <c r="CR72" s="94"/>
      <c r="CS72" s="94"/>
      <c r="CT72" s="11">
        <v>0</v>
      </c>
      <c r="CU72" s="11"/>
      <c r="CV72" s="11">
        <v>0</v>
      </c>
      <c r="CW72" s="11"/>
      <c r="CX72" s="11"/>
      <c r="CY72" s="11">
        <v>0</v>
      </c>
      <c r="CZ72" s="95">
        <f t="shared" si="4"/>
        <v>324</v>
      </c>
      <c r="DA72" s="13">
        <f t="shared" si="5"/>
        <v>28336.92</v>
      </c>
      <c r="DB72" s="61">
        <v>28933.72</v>
      </c>
      <c r="DC72" s="61">
        <v>28660.92</v>
      </c>
      <c r="DD72" s="61"/>
      <c r="DE72" s="61"/>
      <c r="DF72" s="61"/>
      <c r="DG72" s="61"/>
      <c r="DH72" s="61"/>
      <c r="DI72" s="61"/>
      <c r="DJ72" s="61"/>
      <c r="DK72" s="61"/>
      <c r="DL72" s="61"/>
      <c r="DM72" s="62"/>
      <c r="DN72" s="15">
        <v>57594.64</v>
      </c>
      <c r="DO72" s="16">
        <v>-31750.68</v>
      </c>
      <c r="DP72" s="17">
        <v>0</v>
      </c>
      <c r="DQ72" s="61">
        <v>224</v>
      </c>
      <c r="DR72" s="61">
        <v>324</v>
      </c>
      <c r="DS72" s="61"/>
      <c r="DT72" s="61"/>
      <c r="DU72" s="61"/>
      <c r="DV72" s="61"/>
      <c r="DW72" s="61"/>
      <c r="DX72" s="61"/>
      <c r="DY72" s="61"/>
      <c r="DZ72" s="61"/>
      <c r="EA72" s="61"/>
      <c r="EB72" s="14"/>
      <c r="EC72" s="15">
        <f t="shared" si="6"/>
        <v>548</v>
      </c>
      <c r="ED72" s="11">
        <f>CP72</f>
        <v>0</v>
      </c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14"/>
      <c r="EP72" s="15">
        <f t="shared" si="7"/>
        <v>0</v>
      </c>
    </row>
    <row r="73" spans="1:146" s="18" customFormat="1" ht="35" customHeight="1">
      <c r="A73" s="4">
        <v>55</v>
      </c>
      <c r="B73" s="59" t="s">
        <v>444</v>
      </c>
      <c r="C73" s="219" t="s">
        <v>306</v>
      </c>
      <c r="D73" s="7">
        <v>1449900486909</v>
      </c>
      <c r="E73" s="7" t="s">
        <v>307</v>
      </c>
      <c r="F73" s="8" t="s">
        <v>34</v>
      </c>
      <c r="G73" s="9">
        <v>44993</v>
      </c>
      <c r="H73" s="10" t="s">
        <v>76</v>
      </c>
      <c r="I73" s="11">
        <v>400</v>
      </c>
      <c r="J73" s="11">
        <v>25</v>
      </c>
      <c r="K73" s="11">
        <v>10000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>
        <v>8</v>
      </c>
      <c r="W73" s="11">
        <v>400</v>
      </c>
      <c r="X73" s="11">
        <v>0</v>
      </c>
      <c r="Y73" s="11">
        <v>0</v>
      </c>
      <c r="Z73" s="11">
        <v>0</v>
      </c>
      <c r="AA73" s="11">
        <v>0</v>
      </c>
      <c r="AB73" s="11">
        <v>8</v>
      </c>
      <c r="AC73" s="11">
        <v>0</v>
      </c>
      <c r="AD73" s="12">
        <v>0</v>
      </c>
      <c r="AE73" s="11">
        <v>400</v>
      </c>
      <c r="AF73" s="11">
        <v>10800</v>
      </c>
      <c r="AG73" s="11">
        <v>1300</v>
      </c>
      <c r="AH73" s="11">
        <v>1890</v>
      </c>
      <c r="AI73" s="11">
        <v>1215</v>
      </c>
      <c r="AJ73" s="11">
        <v>1200</v>
      </c>
      <c r="AK73" s="11">
        <v>1890</v>
      </c>
      <c r="AL73" s="94">
        <v>0</v>
      </c>
      <c r="AM73" s="11">
        <v>940.92</v>
      </c>
      <c r="AN73" s="11">
        <v>0</v>
      </c>
      <c r="AO73" s="11">
        <v>0</v>
      </c>
      <c r="AP73" s="11">
        <v>0</v>
      </c>
      <c r="AQ73" s="11">
        <v>0</v>
      </c>
      <c r="AR73" s="11">
        <v>500</v>
      </c>
      <c r="AS73" s="11">
        <v>0</v>
      </c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>
        <v>16</v>
      </c>
      <c r="BV73" s="53">
        <v>1600</v>
      </c>
      <c r="BW73" s="53"/>
      <c r="BX73" s="53"/>
      <c r="BY73" s="11">
        <v>6</v>
      </c>
      <c r="BZ73" s="53">
        <v>900</v>
      </c>
      <c r="CA73" s="11">
        <v>0</v>
      </c>
      <c r="CB73" s="53">
        <v>0</v>
      </c>
      <c r="CC73" s="53"/>
      <c r="CD73" s="53"/>
      <c r="CE73" s="11">
        <v>0</v>
      </c>
      <c r="CF73" s="53">
        <v>0</v>
      </c>
      <c r="CG73" s="43">
        <v>8125</v>
      </c>
      <c r="CH73" s="11">
        <v>9735.92</v>
      </c>
      <c r="CI73" s="94">
        <v>0</v>
      </c>
      <c r="CJ73" s="11">
        <v>0</v>
      </c>
      <c r="CK73" s="13"/>
      <c r="CL73" s="13">
        <v>28660.92</v>
      </c>
      <c r="CM73" s="11"/>
      <c r="CN73" s="11"/>
      <c r="CO73" s="14">
        <v>324</v>
      </c>
      <c r="CP73" s="14"/>
      <c r="CQ73" s="14"/>
      <c r="CR73" s="94"/>
      <c r="CS73" s="94"/>
      <c r="CT73" s="11">
        <v>0</v>
      </c>
      <c r="CU73" s="11"/>
      <c r="CV73" s="11">
        <v>0</v>
      </c>
      <c r="CW73" s="11"/>
      <c r="CX73" s="11"/>
      <c r="CY73" s="11">
        <v>0</v>
      </c>
      <c r="CZ73" s="95">
        <f t="shared" si="4"/>
        <v>324</v>
      </c>
      <c r="DA73" s="13">
        <f t="shared" si="5"/>
        <v>28336.92</v>
      </c>
      <c r="DB73" s="61">
        <v>28933.72</v>
      </c>
      <c r="DC73" s="61">
        <v>28660.92</v>
      </c>
      <c r="DD73" s="61"/>
      <c r="DE73" s="61"/>
      <c r="DF73" s="61"/>
      <c r="DG73" s="61"/>
      <c r="DH73" s="61"/>
      <c r="DI73" s="61"/>
      <c r="DJ73" s="61"/>
      <c r="DK73" s="61"/>
      <c r="DL73" s="61"/>
      <c r="DM73" s="62"/>
      <c r="DN73" s="15">
        <v>57594.64</v>
      </c>
      <c r="DO73" s="16">
        <v>-31750.68</v>
      </c>
      <c r="DP73" s="17">
        <v>0</v>
      </c>
      <c r="DQ73" s="61">
        <v>224</v>
      </c>
      <c r="DR73" s="61">
        <v>324</v>
      </c>
      <c r="DS73" s="61"/>
      <c r="DT73" s="61"/>
      <c r="DU73" s="61"/>
      <c r="DV73" s="61"/>
      <c r="DW73" s="61"/>
      <c r="DX73" s="61"/>
      <c r="DY73" s="61"/>
      <c r="DZ73" s="61"/>
      <c r="EA73" s="61"/>
      <c r="EB73" s="14"/>
      <c r="EC73" s="15">
        <f t="shared" si="6"/>
        <v>548</v>
      </c>
      <c r="ED73" s="11">
        <f>CP73</f>
        <v>0</v>
      </c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14"/>
      <c r="EP73" s="15">
        <f t="shared" si="7"/>
        <v>0</v>
      </c>
    </row>
    <row r="74" spans="1:146" s="18" customFormat="1" ht="35" customHeight="1">
      <c r="A74" s="4">
        <v>56</v>
      </c>
      <c r="B74" s="59" t="s">
        <v>445</v>
      </c>
      <c r="C74" s="219" t="s">
        <v>308</v>
      </c>
      <c r="D74" s="7">
        <v>1449900486910</v>
      </c>
      <c r="E74" s="7" t="s">
        <v>309</v>
      </c>
      <c r="F74" s="8" t="s">
        <v>34</v>
      </c>
      <c r="G74" s="9">
        <v>44994</v>
      </c>
      <c r="H74" s="10" t="s">
        <v>76</v>
      </c>
      <c r="I74" s="11">
        <v>400</v>
      </c>
      <c r="J74" s="11">
        <v>25</v>
      </c>
      <c r="K74" s="11">
        <v>10000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>
        <v>8</v>
      </c>
      <c r="W74" s="11">
        <v>400</v>
      </c>
      <c r="X74" s="11">
        <v>0</v>
      </c>
      <c r="Y74" s="11">
        <v>0</v>
      </c>
      <c r="Z74" s="11">
        <v>0</v>
      </c>
      <c r="AA74" s="11">
        <v>0</v>
      </c>
      <c r="AB74" s="11">
        <v>8</v>
      </c>
      <c r="AC74" s="11">
        <v>0</v>
      </c>
      <c r="AD74" s="12">
        <v>0</v>
      </c>
      <c r="AE74" s="11">
        <v>400</v>
      </c>
      <c r="AF74" s="11">
        <v>10800</v>
      </c>
      <c r="AG74" s="11">
        <v>1300</v>
      </c>
      <c r="AH74" s="11">
        <v>1890</v>
      </c>
      <c r="AI74" s="11">
        <v>1215</v>
      </c>
      <c r="AJ74" s="11">
        <v>1200</v>
      </c>
      <c r="AK74" s="11">
        <v>1890</v>
      </c>
      <c r="AL74" s="94">
        <v>0</v>
      </c>
      <c r="AM74" s="11">
        <v>940.92</v>
      </c>
      <c r="AN74" s="11">
        <v>0</v>
      </c>
      <c r="AO74" s="11">
        <v>0</v>
      </c>
      <c r="AP74" s="11">
        <v>0</v>
      </c>
      <c r="AQ74" s="11">
        <v>0</v>
      </c>
      <c r="AR74" s="11">
        <v>500</v>
      </c>
      <c r="AS74" s="11">
        <v>0</v>
      </c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>
        <v>16</v>
      </c>
      <c r="BV74" s="53">
        <v>1600</v>
      </c>
      <c r="BW74" s="53"/>
      <c r="BX74" s="53"/>
      <c r="BY74" s="11">
        <v>6</v>
      </c>
      <c r="BZ74" s="53">
        <v>900</v>
      </c>
      <c r="CA74" s="11">
        <v>0</v>
      </c>
      <c r="CB74" s="53">
        <v>0</v>
      </c>
      <c r="CC74" s="53"/>
      <c r="CD74" s="53"/>
      <c r="CE74" s="11">
        <v>0</v>
      </c>
      <c r="CF74" s="53">
        <v>0</v>
      </c>
      <c r="CG74" s="43">
        <v>8125</v>
      </c>
      <c r="CH74" s="11">
        <v>9735.92</v>
      </c>
      <c r="CI74" s="94">
        <v>0</v>
      </c>
      <c r="CJ74" s="11">
        <v>0</v>
      </c>
      <c r="CK74" s="13"/>
      <c r="CL74" s="13">
        <v>28660.92</v>
      </c>
      <c r="CM74" s="11"/>
      <c r="CN74" s="11"/>
      <c r="CO74" s="14">
        <v>324</v>
      </c>
      <c r="CP74" s="14"/>
      <c r="CQ74" s="14"/>
      <c r="CR74" s="94"/>
      <c r="CS74" s="94"/>
      <c r="CT74" s="11">
        <v>0</v>
      </c>
      <c r="CU74" s="11"/>
      <c r="CV74" s="11">
        <v>0</v>
      </c>
      <c r="CW74" s="11"/>
      <c r="CX74" s="11"/>
      <c r="CY74" s="11">
        <v>0</v>
      </c>
      <c r="CZ74" s="95">
        <f t="shared" si="4"/>
        <v>324</v>
      </c>
      <c r="DA74" s="13">
        <f t="shared" si="5"/>
        <v>28336.92</v>
      </c>
      <c r="DB74" s="61">
        <v>28933.72</v>
      </c>
      <c r="DC74" s="61">
        <v>28660.92</v>
      </c>
      <c r="DD74" s="61"/>
      <c r="DE74" s="61"/>
      <c r="DF74" s="61"/>
      <c r="DG74" s="61"/>
      <c r="DH74" s="61"/>
      <c r="DI74" s="61"/>
      <c r="DJ74" s="61"/>
      <c r="DK74" s="61"/>
      <c r="DL74" s="61"/>
      <c r="DM74" s="62"/>
      <c r="DN74" s="15">
        <v>57594.64</v>
      </c>
      <c r="DO74" s="16">
        <v>-31750.68</v>
      </c>
      <c r="DP74" s="17">
        <v>0</v>
      </c>
      <c r="DQ74" s="61">
        <v>224</v>
      </c>
      <c r="DR74" s="61">
        <v>324</v>
      </c>
      <c r="DS74" s="61"/>
      <c r="DT74" s="61"/>
      <c r="DU74" s="61"/>
      <c r="DV74" s="61"/>
      <c r="DW74" s="61"/>
      <c r="DX74" s="61"/>
      <c r="DY74" s="61"/>
      <c r="DZ74" s="61"/>
      <c r="EA74" s="61"/>
      <c r="EB74" s="14"/>
      <c r="EC74" s="15">
        <f t="shared" si="6"/>
        <v>548</v>
      </c>
      <c r="ED74" s="11">
        <f>CP74</f>
        <v>0</v>
      </c>
      <c r="EE74" s="61"/>
      <c r="EF74" s="61"/>
      <c r="EG74" s="61"/>
      <c r="EH74" s="61"/>
      <c r="EI74" s="61"/>
      <c r="EJ74" s="61"/>
      <c r="EK74" s="61"/>
      <c r="EL74" s="61"/>
      <c r="EM74" s="61"/>
      <c r="EN74" s="61"/>
      <c r="EO74" s="14"/>
      <c r="EP74" s="15">
        <f t="shared" si="7"/>
        <v>0</v>
      </c>
    </row>
    <row r="75" spans="1:146" s="18" customFormat="1" ht="35" customHeight="1">
      <c r="A75" s="4">
        <v>57</v>
      </c>
      <c r="B75" s="59" t="s">
        <v>446</v>
      </c>
      <c r="C75" s="219" t="s">
        <v>310</v>
      </c>
      <c r="D75" s="7">
        <v>1449900486911</v>
      </c>
      <c r="E75" s="7" t="s">
        <v>311</v>
      </c>
      <c r="F75" s="8" t="s">
        <v>34</v>
      </c>
      <c r="G75" s="9">
        <v>44995</v>
      </c>
      <c r="H75" s="10" t="s">
        <v>76</v>
      </c>
      <c r="I75" s="11">
        <v>400</v>
      </c>
      <c r="J75" s="11">
        <v>25</v>
      </c>
      <c r="K75" s="11">
        <v>10000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>
        <v>8</v>
      </c>
      <c r="W75" s="11">
        <v>400</v>
      </c>
      <c r="X75" s="11">
        <v>0</v>
      </c>
      <c r="Y75" s="11">
        <v>0</v>
      </c>
      <c r="Z75" s="11">
        <v>0</v>
      </c>
      <c r="AA75" s="11">
        <v>0</v>
      </c>
      <c r="AB75" s="11">
        <v>8</v>
      </c>
      <c r="AC75" s="11">
        <v>0</v>
      </c>
      <c r="AD75" s="12">
        <v>0</v>
      </c>
      <c r="AE75" s="11">
        <v>400</v>
      </c>
      <c r="AF75" s="11">
        <v>10800</v>
      </c>
      <c r="AG75" s="11">
        <v>1300</v>
      </c>
      <c r="AH75" s="11">
        <v>1890</v>
      </c>
      <c r="AI75" s="11">
        <v>1215</v>
      </c>
      <c r="AJ75" s="11">
        <v>1200</v>
      </c>
      <c r="AK75" s="11">
        <v>1890</v>
      </c>
      <c r="AL75" s="94">
        <v>0</v>
      </c>
      <c r="AM75" s="11">
        <v>940.92</v>
      </c>
      <c r="AN75" s="11">
        <v>0</v>
      </c>
      <c r="AO75" s="11">
        <v>0</v>
      </c>
      <c r="AP75" s="11">
        <v>0</v>
      </c>
      <c r="AQ75" s="11">
        <v>0</v>
      </c>
      <c r="AR75" s="11">
        <v>500</v>
      </c>
      <c r="AS75" s="11">
        <v>0</v>
      </c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>
        <v>16</v>
      </c>
      <c r="BV75" s="53">
        <v>1600</v>
      </c>
      <c r="BW75" s="53"/>
      <c r="BX75" s="53"/>
      <c r="BY75" s="11">
        <v>6</v>
      </c>
      <c r="BZ75" s="53">
        <v>900</v>
      </c>
      <c r="CA75" s="11">
        <v>0</v>
      </c>
      <c r="CB75" s="53">
        <v>0</v>
      </c>
      <c r="CC75" s="53"/>
      <c r="CD75" s="53"/>
      <c r="CE75" s="11">
        <v>0</v>
      </c>
      <c r="CF75" s="53">
        <v>0</v>
      </c>
      <c r="CG75" s="43">
        <v>8125</v>
      </c>
      <c r="CH75" s="11">
        <v>9735.92</v>
      </c>
      <c r="CI75" s="94">
        <v>0</v>
      </c>
      <c r="CJ75" s="11">
        <v>0</v>
      </c>
      <c r="CK75" s="13"/>
      <c r="CL75" s="13">
        <v>28660.92</v>
      </c>
      <c r="CM75" s="11"/>
      <c r="CN75" s="11"/>
      <c r="CO75" s="14">
        <v>324</v>
      </c>
      <c r="CP75" s="14"/>
      <c r="CQ75" s="14"/>
      <c r="CR75" s="94"/>
      <c r="CS75" s="94"/>
      <c r="CT75" s="11">
        <v>0</v>
      </c>
      <c r="CU75" s="11"/>
      <c r="CV75" s="11">
        <v>0</v>
      </c>
      <c r="CW75" s="11"/>
      <c r="CX75" s="11"/>
      <c r="CY75" s="11">
        <v>0</v>
      </c>
      <c r="CZ75" s="95">
        <f t="shared" si="4"/>
        <v>324</v>
      </c>
      <c r="DA75" s="13">
        <f t="shared" si="5"/>
        <v>28336.92</v>
      </c>
      <c r="DB75" s="61">
        <v>28933.72</v>
      </c>
      <c r="DC75" s="61">
        <v>28660.92</v>
      </c>
      <c r="DD75" s="61"/>
      <c r="DE75" s="61"/>
      <c r="DF75" s="61"/>
      <c r="DG75" s="61"/>
      <c r="DH75" s="61"/>
      <c r="DI75" s="61"/>
      <c r="DJ75" s="61"/>
      <c r="DK75" s="61"/>
      <c r="DL75" s="61"/>
      <c r="DM75" s="62"/>
      <c r="DN75" s="15">
        <v>57594.64</v>
      </c>
      <c r="DO75" s="16">
        <v>-31750.68</v>
      </c>
      <c r="DP75" s="17">
        <v>0</v>
      </c>
      <c r="DQ75" s="61">
        <v>224</v>
      </c>
      <c r="DR75" s="61">
        <v>324</v>
      </c>
      <c r="DS75" s="61"/>
      <c r="DT75" s="61"/>
      <c r="DU75" s="61"/>
      <c r="DV75" s="61"/>
      <c r="DW75" s="61"/>
      <c r="DX75" s="61"/>
      <c r="DY75" s="61"/>
      <c r="DZ75" s="61"/>
      <c r="EA75" s="61"/>
      <c r="EB75" s="14"/>
      <c r="EC75" s="15">
        <f t="shared" si="6"/>
        <v>548</v>
      </c>
      <c r="ED75" s="11">
        <f>CP75</f>
        <v>0</v>
      </c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14"/>
      <c r="EP75" s="15">
        <f t="shared" si="7"/>
        <v>0</v>
      </c>
    </row>
    <row r="76" spans="1:146" s="18" customFormat="1" ht="35" customHeight="1">
      <c r="A76" s="4">
        <v>58</v>
      </c>
      <c r="B76" s="59" t="s">
        <v>447</v>
      </c>
      <c r="C76" s="219" t="s">
        <v>312</v>
      </c>
      <c r="D76" s="7">
        <v>1449900486912</v>
      </c>
      <c r="E76" s="7" t="s">
        <v>313</v>
      </c>
      <c r="F76" s="8" t="s">
        <v>34</v>
      </c>
      <c r="G76" s="9">
        <v>44996</v>
      </c>
      <c r="H76" s="10" t="s">
        <v>76</v>
      </c>
      <c r="I76" s="11">
        <v>400</v>
      </c>
      <c r="J76" s="11">
        <v>25</v>
      </c>
      <c r="K76" s="11">
        <v>10000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>
        <v>8</v>
      </c>
      <c r="W76" s="11">
        <v>400</v>
      </c>
      <c r="X76" s="11">
        <v>0</v>
      </c>
      <c r="Y76" s="11">
        <v>0</v>
      </c>
      <c r="Z76" s="11">
        <v>0</v>
      </c>
      <c r="AA76" s="11">
        <v>0</v>
      </c>
      <c r="AB76" s="11">
        <v>8</v>
      </c>
      <c r="AC76" s="11">
        <v>0</v>
      </c>
      <c r="AD76" s="12">
        <v>0</v>
      </c>
      <c r="AE76" s="11">
        <v>400</v>
      </c>
      <c r="AF76" s="11">
        <v>10800</v>
      </c>
      <c r="AG76" s="11">
        <v>1300</v>
      </c>
      <c r="AH76" s="11">
        <v>1890</v>
      </c>
      <c r="AI76" s="11">
        <v>1215</v>
      </c>
      <c r="AJ76" s="11">
        <v>1200</v>
      </c>
      <c r="AK76" s="11">
        <v>1890</v>
      </c>
      <c r="AL76" s="94">
        <v>0</v>
      </c>
      <c r="AM76" s="11">
        <v>940.92</v>
      </c>
      <c r="AN76" s="11">
        <v>0</v>
      </c>
      <c r="AO76" s="11">
        <v>0</v>
      </c>
      <c r="AP76" s="11">
        <v>0</v>
      </c>
      <c r="AQ76" s="11">
        <v>0</v>
      </c>
      <c r="AR76" s="11">
        <v>500</v>
      </c>
      <c r="AS76" s="11">
        <v>0</v>
      </c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>
        <v>16</v>
      </c>
      <c r="BV76" s="53">
        <v>1600</v>
      </c>
      <c r="BW76" s="53"/>
      <c r="BX76" s="53"/>
      <c r="BY76" s="11">
        <v>6</v>
      </c>
      <c r="BZ76" s="53">
        <v>900</v>
      </c>
      <c r="CA76" s="11">
        <v>0</v>
      </c>
      <c r="CB76" s="53">
        <v>0</v>
      </c>
      <c r="CC76" s="53"/>
      <c r="CD76" s="53"/>
      <c r="CE76" s="11">
        <v>0</v>
      </c>
      <c r="CF76" s="53">
        <v>0</v>
      </c>
      <c r="CG76" s="43">
        <v>8125</v>
      </c>
      <c r="CH76" s="11">
        <v>9735.92</v>
      </c>
      <c r="CI76" s="94">
        <v>0</v>
      </c>
      <c r="CJ76" s="11">
        <v>0</v>
      </c>
      <c r="CK76" s="13"/>
      <c r="CL76" s="13">
        <v>28660.92</v>
      </c>
      <c r="CM76" s="11"/>
      <c r="CN76" s="11"/>
      <c r="CO76" s="14">
        <v>324</v>
      </c>
      <c r="CP76" s="14"/>
      <c r="CQ76" s="14"/>
      <c r="CR76" s="94"/>
      <c r="CS76" s="94"/>
      <c r="CT76" s="11">
        <v>0</v>
      </c>
      <c r="CU76" s="11"/>
      <c r="CV76" s="11">
        <v>0</v>
      </c>
      <c r="CW76" s="11"/>
      <c r="CX76" s="11"/>
      <c r="CY76" s="11">
        <v>0</v>
      </c>
      <c r="CZ76" s="95">
        <f t="shared" si="4"/>
        <v>324</v>
      </c>
      <c r="DA76" s="13">
        <f t="shared" si="5"/>
        <v>28336.92</v>
      </c>
      <c r="DB76" s="61">
        <v>28933.72</v>
      </c>
      <c r="DC76" s="61">
        <v>28660.92</v>
      </c>
      <c r="DD76" s="61"/>
      <c r="DE76" s="61"/>
      <c r="DF76" s="61"/>
      <c r="DG76" s="61"/>
      <c r="DH76" s="61"/>
      <c r="DI76" s="61"/>
      <c r="DJ76" s="61"/>
      <c r="DK76" s="61"/>
      <c r="DL76" s="61"/>
      <c r="DM76" s="62"/>
      <c r="DN76" s="15">
        <v>57594.64</v>
      </c>
      <c r="DO76" s="16">
        <v>-31750.68</v>
      </c>
      <c r="DP76" s="17">
        <v>0</v>
      </c>
      <c r="DQ76" s="61">
        <v>224</v>
      </c>
      <c r="DR76" s="61">
        <v>324</v>
      </c>
      <c r="DS76" s="61"/>
      <c r="DT76" s="61"/>
      <c r="DU76" s="61"/>
      <c r="DV76" s="61"/>
      <c r="DW76" s="61"/>
      <c r="DX76" s="61"/>
      <c r="DY76" s="61"/>
      <c r="DZ76" s="61"/>
      <c r="EA76" s="61"/>
      <c r="EB76" s="14"/>
      <c r="EC76" s="15">
        <f t="shared" si="6"/>
        <v>548</v>
      </c>
      <c r="ED76" s="11">
        <f>CP76</f>
        <v>0</v>
      </c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14"/>
      <c r="EP76" s="15">
        <f t="shared" si="7"/>
        <v>0</v>
      </c>
    </row>
    <row r="77" spans="1:146" s="18" customFormat="1" ht="35" customHeight="1">
      <c r="A77" s="4">
        <v>59</v>
      </c>
      <c r="B77" s="59" t="s">
        <v>448</v>
      </c>
      <c r="C77" s="219" t="s">
        <v>314</v>
      </c>
      <c r="D77" s="7">
        <v>1449900486913</v>
      </c>
      <c r="E77" s="7" t="s">
        <v>315</v>
      </c>
      <c r="F77" s="8" t="s">
        <v>34</v>
      </c>
      <c r="G77" s="9">
        <v>44997</v>
      </c>
      <c r="H77" s="10" t="s">
        <v>76</v>
      </c>
      <c r="I77" s="11">
        <v>400</v>
      </c>
      <c r="J77" s="11">
        <v>25</v>
      </c>
      <c r="K77" s="11">
        <v>10000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>
        <v>8</v>
      </c>
      <c r="W77" s="11">
        <v>400</v>
      </c>
      <c r="X77" s="11">
        <v>0</v>
      </c>
      <c r="Y77" s="11">
        <v>0</v>
      </c>
      <c r="Z77" s="11">
        <v>0</v>
      </c>
      <c r="AA77" s="11">
        <v>0</v>
      </c>
      <c r="AB77" s="11">
        <v>8</v>
      </c>
      <c r="AC77" s="11">
        <v>0</v>
      </c>
      <c r="AD77" s="12">
        <v>0</v>
      </c>
      <c r="AE77" s="11">
        <v>400</v>
      </c>
      <c r="AF77" s="11">
        <v>10800</v>
      </c>
      <c r="AG77" s="11">
        <v>1300</v>
      </c>
      <c r="AH77" s="11">
        <v>1890</v>
      </c>
      <c r="AI77" s="11">
        <v>1215</v>
      </c>
      <c r="AJ77" s="11">
        <v>1200</v>
      </c>
      <c r="AK77" s="11">
        <v>1890</v>
      </c>
      <c r="AL77" s="94">
        <v>0</v>
      </c>
      <c r="AM77" s="11">
        <v>940.92</v>
      </c>
      <c r="AN77" s="11">
        <v>0</v>
      </c>
      <c r="AO77" s="11">
        <v>0</v>
      </c>
      <c r="AP77" s="11">
        <v>0</v>
      </c>
      <c r="AQ77" s="11">
        <v>0</v>
      </c>
      <c r="AR77" s="11">
        <v>500</v>
      </c>
      <c r="AS77" s="11">
        <v>0</v>
      </c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>
        <v>16</v>
      </c>
      <c r="BV77" s="53">
        <v>1600</v>
      </c>
      <c r="BW77" s="53"/>
      <c r="BX77" s="53"/>
      <c r="BY77" s="11">
        <v>6</v>
      </c>
      <c r="BZ77" s="53">
        <v>900</v>
      </c>
      <c r="CA77" s="11">
        <v>0</v>
      </c>
      <c r="CB77" s="53">
        <v>0</v>
      </c>
      <c r="CC77" s="53"/>
      <c r="CD77" s="53"/>
      <c r="CE77" s="11">
        <v>0</v>
      </c>
      <c r="CF77" s="53">
        <v>0</v>
      </c>
      <c r="CG77" s="43">
        <v>8125</v>
      </c>
      <c r="CH77" s="11">
        <v>9735.92</v>
      </c>
      <c r="CI77" s="94">
        <v>0</v>
      </c>
      <c r="CJ77" s="11">
        <v>0</v>
      </c>
      <c r="CK77" s="13"/>
      <c r="CL77" s="13">
        <v>28660.92</v>
      </c>
      <c r="CM77" s="11"/>
      <c r="CN77" s="11"/>
      <c r="CO77" s="14">
        <v>324</v>
      </c>
      <c r="CP77" s="14"/>
      <c r="CQ77" s="14"/>
      <c r="CR77" s="94"/>
      <c r="CS77" s="94"/>
      <c r="CT77" s="11">
        <v>0</v>
      </c>
      <c r="CU77" s="11"/>
      <c r="CV77" s="11">
        <v>0</v>
      </c>
      <c r="CW77" s="11"/>
      <c r="CX77" s="11"/>
      <c r="CY77" s="11">
        <v>0</v>
      </c>
      <c r="CZ77" s="95">
        <f t="shared" si="4"/>
        <v>324</v>
      </c>
      <c r="DA77" s="13">
        <f t="shared" si="5"/>
        <v>28336.92</v>
      </c>
      <c r="DB77" s="61">
        <v>28933.72</v>
      </c>
      <c r="DC77" s="61">
        <v>28660.92</v>
      </c>
      <c r="DD77" s="61"/>
      <c r="DE77" s="61"/>
      <c r="DF77" s="61"/>
      <c r="DG77" s="61"/>
      <c r="DH77" s="61"/>
      <c r="DI77" s="61"/>
      <c r="DJ77" s="61"/>
      <c r="DK77" s="61"/>
      <c r="DL77" s="61"/>
      <c r="DM77" s="62"/>
      <c r="DN77" s="15">
        <v>57594.64</v>
      </c>
      <c r="DO77" s="16">
        <v>-31750.68</v>
      </c>
      <c r="DP77" s="17">
        <v>0</v>
      </c>
      <c r="DQ77" s="61">
        <v>224</v>
      </c>
      <c r="DR77" s="61">
        <v>324</v>
      </c>
      <c r="DS77" s="61"/>
      <c r="DT77" s="61"/>
      <c r="DU77" s="61"/>
      <c r="DV77" s="61"/>
      <c r="DW77" s="61"/>
      <c r="DX77" s="61"/>
      <c r="DY77" s="61"/>
      <c r="DZ77" s="61"/>
      <c r="EA77" s="61"/>
      <c r="EB77" s="14"/>
      <c r="EC77" s="15">
        <f t="shared" si="6"/>
        <v>548</v>
      </c>
      <c r="ED77" s="11">
        <f>CP77</f>
        <v>0</v>
      </c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14"/>
      <c r="EP77" s="15">
        <f t="shared" si="7"/>
        <v>0</v>
      </c>
    </row>
    <row r="78" spans="1:146" s="18" customFormat="1" ht="35" customHeight="1">
      <c r="A78" s="4">
        <v>60</v>
      </c>
      <c r="B78" s="59" t="s">
        <v>449</v>
      </c>
      <c r="C78" s="219" t="s">
        <v>316</v>
      </c>
      <c r="D78" s="7">
        <v>1449900486914</v>
      </c>
      <c r="E78" s="7" t="s">
        <v>317</v>
      </c>
      <c r="F78" s="8" t="s">
        <v>34</v>
      </c>
      <c r="G78" s="9">
        <v>44998</v>
      </c>
      <c r="H78" s="10" t="s">
        <v>76</v>
      </c>
      <c r="I78" s="11">
        <v>400</v>
      </c>
      <c r="J78" s="11">
        <v>25</v>
      </c>
      <c r="K78" s="11">
        <v>10000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>
        <v>8</v>
      </c>
      <c r="W78" s="11">
        <v>400</v>
      </c>
      <c r="X78" s="11">
        <v>0</v>
      </c>
      <c r="Y78" s="11">
        <v>0</v>
      </c>
      <c r="Z78" s="11">
        <v>0</v>
      </c>
      <c r="AA78" s="11">
        <v>0</v>
      </c>
      <c r="AB78" s="11">
        <v>8</v>
      </c>
      <c r="AC78" s="11">
        <v>0</v>
      </c>
      <c r="AD78" s="12">
        <v>0</v>
      </c>
      <c r="AE78" s="11">
        <v>400</v>
      </c>
      <c r="AF78" s="11">
        <v>10800</v>
      </c>
      <c r="AG78" s="11">
        <v>1300</v>
      </c>
      <c r="AH78" s="11">
        <v>1890</v>
      </c>
      <c r="AI78" s="11">
        <v>1215</v>
      </c>
      <c r="AJ78" s="11">
        <v>1200</v>
      </c>
      <c r="AK78" s="11">
        <v>1890</v>
      </c>
      <c r="AL78" s="94">
        <v>0</v>
      </c>
      <c r="AM78" s="11">
        <v>940.92</v>
      </c>
      <c r="AN78" s="11">
        <v>0</v>
      </c>
      <c r="AO78" s="11">
        <v>0</v>
      </c>
      <c r="AP78" s="11">
        <v>0</v>
      </c>
      <c r="AQ78" s="11">
        <v>0</v>
      </c>
      <c r="AR78" s="11">
        <v>500</v>
      </c>
      <c r="AS78" s="11">
        <v>0</v>
      </c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>
        <v>16</v>
      </c>
      <c r="BV78" s="53">
        <v>1600</v>
      </c>
      <c r="BW78" s="53"/>
      <c r="BX78" s="53"/>
      <c r="BY78" s="11">
        <v>6</v>
      </c>
      <c r="BZ78" s="53">
        <v>900</v>
      </c>
      <c r="CA78" s="11">
        <v>0</v>
      </c>
      <c r="CB78" s="53">
        <v>0</v>
      </c>
      <c r="CC78" s="53"/>
      <c r="CD78" s="53"/>
      <c r="CE78" s="11">
        <v>0</v>
      </c>
      <c r="CF78" s="53">
        <v>0</v>
      </c>
      <c r="CG78" s="43">
        <v>8125</v>
      </c>
      <c r="CH78" s="11">
        <v>9735.92</v>
      </c>
      <c r="CI78" s="94">
        <v>0</v>
      </c>
      <c r="CJ78" s="11">
        <v>0</v>
      </c>
      <c r="CK78" s="13"/>
      <c r="CL78" s="13">
        <v>28660.92</v>
      </c>
      <c r="CM78" s="11"/>
      <c r="CN78" s="11"/>
      <c r="CO78" s="14">
        <v>324</v>
      </c>
      <c r="CP78" s="14"/>
      <c r="CQ78" s="14"/>
      <c r="CR78" s="94"/>
      <c r="CS78" s="94"/>
      <c r="CT78" s="11">
        <v>0</v>
      </c>
      <c r="CU78" s="11"/>
      <c r="CV78" s="11">
        <v>0</v>
      </c>
      <c r="CW78" s="11"/>
      <c r="CX78" s="11"/>
      <c r="CY78" s="11">
        <v>0</v>
      </c>
      <c r="CZ78" s="95">
        <f t="shared" si="4"/>
        <v>324</v>
      </c>
      <c r="DA78" s="13">
        <f t="shared" si="5"/>
        <v>28336.92</v>
      </c>
      <c r="DB78" s="61">
        <v>28933.72</v>
      </c>
      <c r="DC78" s="61">
        <v>28660.92</v>
      </c>
      <c r="DD78" s="61"/>
      <c r="DE78" s="61"/>
      <c r="DF78" s="61"/>
      <c r="DG78" s="61"/>
      <c r="DH78" s="61"/>
      <c r="DI78" s="61"/>
      <c r="DJ78" s="61"/>
      <c r="DK78" s="61"/>
      <c r="DL78" s="61"/>
      <c r="DM78" s="62"/>
      <c r="DN78" s="15">
        <v>57594.64</v>
      </c>
      <c r="DO78" s="16">
        <v>-31750.68</v>
      </c>
      <c r="DP78" s="17">
        <v>0</v>
      </c>
      <c r="DQ78" s="61">
        <v>224</v>
      </c>
      <c r="DR78" s="61">
        <v>324</v>
      </c>
      <c r="DS78" s="61"/>
      <c r="DT78" s="61"/>
      <c r="DU78" s="61"/>
      <c r="DV78" s="61"/>
      <c r="DW78" s="61"/>
      <c r="DX78" s="61"/>
      <c r="DY78" s="61"/>
      <c r="DZ78" s="61"/>
      <c r="EA78" s="61"/>
      <c r="EB78" s="14"/>
      <c r="EC78" s="15">
        <f t="shared" si="6"/>
        <v>548</v>
      </c>
      <c r="ED78" s="11">
        <f>CP78</f>
        <v>0</v>
      </c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14"/>
      <c r="EP78" s="15">
        <f t="shared" si="7"/>
        <v>0</v>
      </c>
    </row>
    <row r="79" spans="1:146" s="18" customFormat="1" ht="35" customHeight="1">
      <c r="A79" s="4">
        <v>61</v>
      </c>
      <c r="B79" s="59" t="s">
        <v>450</v>
      </c>
      <c r="C79" s="219" t="s">
        <v>318</v>
      </c>
      <c r="D79" s="7">
        <v>1449900486915</v>
      </c>
      <c r="E79" s="7" t="s">
        <v>319</v>
      </c>
      <c r="F79" s="8" t="s">
        <v>34</v>
      </c>
      <c r="G79" s="9">
        <v>44999</v>
      </c>
      <c r="H79" s="10" t="s">
        <v>76</v>
      </c>
      <c r="I79" s="11">
        <v>400</v>
      </c>
      <c r="J79" s="11">
        <v>25</v>
      </c>
      <c r="K79" s="11">
        <v>10000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>
        <v>8</v>
      </c>
      <c r="W79" s="11">
        <v>400</v>
      </c>
      <c r="X79" s="11">
        <v>0</v>
      </c>
      <c r="Y79" s="11">
        <v>0</v>
      </c>
      <c r="Z79" s="11">
        <v>0</v>
      </c>
      <c r="AA79" s="11">
        <v>0</v>
      </c>
      <c r="AB79" s="11">
        <v>8</v>
      </c>
      <c r="AC79" s="11">
        <v>0</v>
      </c>
      <c r="AD79" s="12">
        <v>0</v>
      </c>
      <c r="AE79" s="11">
        <v>400</v>
      </c>
      <c r="AF79" s="11">
        <v>10800</v>
      </c>
      <c r="AG79" s="11">
        <v>1300</v>
      </c>
      <c r="AH79" s="11">
        <v>1890</v>
      </c>
      <c r="AI79" s="11">
        <v>1215</v>
      </c>
      <c r="AJ79" s="11">
        <v>1200</v>
      </c>
      <c r="AK79" s="11">
        <v>1890</v>
      </c>
      <c r="AL79" s="94">
        <v>0</v>
      </c>
      <c r="AM79" s="11">
        <v>940.92</v>
      </c>
      <c r="AN79" s="11">
        <v>0</v>
      </c>
      <c r="AO79" s="11">
        <v>0</v>
      </c>
      <c r="AP79" s="11">
        <v>0</v>
      </c>
      <c r="AQ79" s="11">
        <v>0</v>
      </c>
      <c r="AR79" s="11">
        <v>500</v>
      </c>
      <c r="AS79" s="11">
        <v>0</v>
      </c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>
        <v>16</v>
      </c>
      <c r="BV79" s="53">
        <v>1600</v>
      </c>
      <c r="BW79" s="53"/>
      <c r="BX79" s="53"/>
      <c r="BY79" s="11">
        <v>6</v>
      </c>
      <c r="BZ79" s="53">
        <v>900</v>
      </c>
      <c r="CA79" s="11">
        <v>0</v>
      </c>
      <c r="CB79" s="53">
        <v>0</v>
      </c>
      <c r="CC79" s="53"/>
      <c r="CD79" s="53"/>
      <c r="CE79" s="11">
        <v>0</v>
      </c>
      <c r="CF79" s="53">
        <v>0</v>
      </c>
      <c r="CG79" s="43">
        <v>8125</v>
      </c>
      <c r="CH79" s="11">
        <v>9735.92</v>
      </c>
      <c r="CI79" s="94">
        <v>0</v>
      </c>
      <c r="CJ79" s="11">
        <v>0</v>
      </c>
      <c r="CK79" s="13"/>
      <c r="CL79" s="13">
        <v>28660.92</v>
      </c>
      <c r="CM79" s="11"/>
      <c r="CN79" s="11"/>
      <c r="CO79" s="14">
        <v>324</v>
      </c>
      <c r="CP79" s="14"/>
      <c r="CQ79" s="14"/>
      <c r="CR79" s="94"/>
      <c r="CS79" s="94"/>
      <c r="CT79" s="11">
        <v>0</v>
      </c>
      <c r="CU79" s="11"/>
      <c r="CV79" s="11">
        <v>0</v>
      </c>
      <c r="CW79" s="11"/>
      <c r="CX79" s="11"/>
      <c r="CY79" s="11">
        <v>0</v>
      </c>
      <c r="CZ79" s="95">
        <f t="shared" si="4"/>
        <v>324</v>
      </c>
      <c r="DA79" s="13">
        <f t="shared" si="5"/>
        <v>28336.92</v>
      </c>
      <c r="DB79" s="61">
        <v>28933.72</v>
      </c>
      <c r="DC79" s="61">
        <v>28660.92</v>
      </c>
      <c r="DD79" s="61"/>
      <c r="DE79" s="61"/>
      <c r="DF79" s="61"/>
      <c r="DG79" s="61"/>
      <c r="DH79" s="61"/>
      <c r="DI79" s="61"/>
      <c r="DJ79" s="61"/>
      <c r="DK79" s="61"/>
      <c r="DL79" s="61"/>
      <c r="DM79" s="62"/>
      <c r="DN79" s="15">
        <v>57594.64</v>
      </c>
      <c r="DO79" s="16">
        <v>-31750.68</v>
      </c>
      <c r="DP79" s="17">
        <v>0</v>
      </c>
      <c r="DQ79" s="61">
        <v>224</v>
      </c>
      <c r="DR79" s="61">
        <v>324</v>
      </c>
      <c r="DS79" s="61"/>
      <c r="DT79" s="61"/>
      <c r="DU79" s="61"/>
      <c r="DV79" s="61"/>
      <c r="DW79" s="61"/>
      <c r="DX79" s="61"/>
      <c r="DY79" s="61"/>
      <c r="DZ79" s="61"/>
      <c r="EA79" s="61"/>
      <c r="EB79" s="14"/>
      <c r="EC79" s="15">
        <f t="shared" si="6"/>
        <v>548</v>
      </c>
      <c r="ED79" s="11">
        <f>CP79</f>
        <v>0</v>
      </c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14"/>
      <c r="EP79" s="15">
        <f t="shared" si="7"/>
        <v>0</v>
      </c>
    </row>
    <row r="80" spans="1:146" s="18" customFormat="1" ht="35" customHeight="1">
      <c r="A80" s="4">
        <v>62</v>
      </c>
      <c r="B80" s="59" t="s">
        <v>451</v>
      </c>
      <c r="C80" s="219" t="s">
        <v>320</v>
      </c>
      <c r="D80" s="7">
        <v>1449900486916</v>
      </c>
      <c r="E80" s="7" t="s">
        <v>321</v>
      </c>
      <c r="F80" s="8" t="s">
        <v>34</v>
      </c>
      <c r="G80" s="9">
        <v>45000</v>
      </c>
      <c r="H80" s="10" t="s">
        <v>76</v>
      </c>
      <c r="I80" s="11">
        <v>400</v>
      </c>
      <c r="J80" s="11">
        <v>25</v>
      </c>
      <c r="K80" s="11">
        <v>10000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>
        <v>8</v>
      </c>
      <c r="W80" s="11">
        <v>400</v>
      </c>
      <c r="X80" s="11">
        <v>0</v>
      </c>
      <c r="Y80" s="11">
        <v>0</v>
      </c>
      <c r="Z80" s="11">
        <v>0</v>
      </c>
      <c r="AA80" s="11">
        <v>0</v>
      </c>
      <c r="AB80" s="11">
        <v>8</v>
      </c>
      <c r="AC80" s="11">
        <v>0</v>
      </c>
      <c r="AD80" s="12">
        <v>0</v>
      </c>
      <c r="AE80" s="11">
        <v>400</v>
      </c>
      <c r="AF80" s="11">
        <v>10800</v>
      </c>
      <c r="AG80" s="11">
        <v>1300</v>
      </c>
      <c r="AH80" s="11">
        <v>1890</v>
      </c>
      <c r="AI80" s="11">
        <v>1215</v>
      </c>
      <c r="AJ80" s="11">
        <v>1200</v>
      </c>
      <c r="AK80" s="11">
        <v>1890</v>
      </c>
      <c r="AL80" s="94">
        <v>0</v>
      </c>
      <c r="AM80" s="11">
        <v>940.92</v>
      </c>
      <c r="AN80" s="11">
        <v>0</v>
      </c>
      <c r="AO80" s="11">
        <v>0</v>
      </c>
      <c r="AP80" s="11">
        <v>0</v>
      </c>
      <c r="AQ80" s="11">
        <v>0</v>
      </c>
      <c r="AR80" s="11">
        <v>500</v>
      </c>
      <c r="AS80" s="11">
        <v>0</v>
      </c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>
        <v>16</v>
      </c>
      <c r="BV80" s="53">
        <v>1600</v>
      </c>
      <c r="BW80" s="53"/>
      <c r="BX80" s="53"/>
      <c r="BY80" s="11">
        <v>6</v>
      </c>
      <c r="BZ80" s="53">
        <v>900</v>
      </c>
      <c r="CA80" s="11">
        <v>0</v>
      </c>
      <c r="CB80" s="53">
        <v>0</v>
      </c>
      <c r="CC80" s="53"/>
      <c r="CD80" s="53"/>
      <c r="CE80" s="11">
        <v>0</v>
      </c>
      <c r="CF80" s="53">
        <v>0</v>
      </c>
      <c r="CG80" s="43">
        <v>8125</v>
      </c>
      <c r="CH80" s="11">
        <v>9735.92</v>
      </c>
      <c r="CI80" s="94">
        <v>0</v>
      </c>
      <c r="CJ80" s="11">
        <v>0</v>
      </c>
      <c r="CK80" s="13"/>
      <c r="CL80" s="13">
        <v>28660.92</v>
      </c>
      <c r="CM80" s="11"/>
      <c r="CN80" s="11"/>
      <c r="CO80" s="14">
        <v>324</v>
      </c>
      <c r="CP80" s="14"/>
      <c r="CQ80" s="14"/>
      <c r="CR80" s="94"/>
      <c r="CS80" s="94"/>
      <c r="CT80" s="11">
        <v>0</v>
      </c>
      <c r="CU80" s="11"/>
      <c r="CV80" s="11">
        <v>0</v>
      </c>
      <c r="CW80" s="11"/>
      <c r="CX80" s="11"/>
      <c r="CY80" s="11">
        <v>0</v>
      </c>
      <c r="CZ80" s="95">
        <f t="shared" si="4"/>
        <v>324</v>
      </c>
      <c r="DA80" s="13">
        <f t="shared" si="5"/>
        <v>28336.92</v>
      </c>
      <c r="DB80" s="61">
        <v>28933.72</v>
      </c>
      <c r="DC80" s="61">
        <v>28660.92</v>
      </c>
      <c r="DD80" s="61"/>
      <c r="DE80" s="61"/>
      <c r="DF80" s="61"/>
      <c r="DG80" s="61"/>
      <c r="DH80" s="61"/>
      <c r="DI80" s="61"/>
      <c r="DJ80" s="61"/>
      <c r="DK80" s="61"/>
      <c r="DL80" s="61"/>
      <c r="DM80" s="62"/>
      <c r="DN80" s="15">
        <v>57594.64</v>
      </c>
      <c r="DO80" s="16">
        <v>-31750.68</v>
      </c>
      <c r="DP80" s="17">
        <v>0</v>
      </c>
      <c r="DQ80" s="61">
        <v>224</v>
      </c>
      <c r="DR80" s="61">
        <v>324</v>
      </c>
      <c r="DS80" s="61"/>
      <c r="DT80" s="61"/>
      <c r="DU80" s="61"/>
      <c r="DV80" s="61"/>
      <c r="DW80" s="61"/>
      <c r="DX80" s="61"/>
      <c r="DY80" s="61"/>
      <c r="DZ80" s="61"/>
      <c r="EA80" s="61"/>
      <c r="EB80" s="14"/>
      <c r="EC80" s="15">
        <f t="shared" si="6"/>
        <v>548</v>
      </c>
      <c r="ED80" s="11">
        <f>CP80</f>
        <v>0</v>
      </c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14"/>
      <c r="EP80" s="15">
        <f t="shared" si="7"/>
        <v>0</v>
      </c>
    </row>
    <row r="81" spans="1:146" s="18" customFormat="1" ht="35" customHeight="1">
      <c r="A81" s="4">
        <v>63</v>
      </c>
      <c r="B81" s="59" t="s">
        <v>452</v>
      </c>
      <c r="C81" s="219" t="s">
        <v>322</v>
      </c>
      <c r="D81" s="7">
        <v>1449900486917</v>
      </c>
      <c r="E81" s="7" t="s">
        <v>323</v>
      </c>
      <c r="F81" s="8" t="s">
        <v>34</v>
      </c>
      <c r="G81" s="9">
        <v>45001</v>
      </c>
      <c r="H81" s="10" t="s">
        <v>76</v>
      </c>
      <c r="I81" s="11">
        <v>400</v>
      </c>
      <c r="J81" s="11">
        <v>25</v>
      </c>
      <c r="K81" s="11">
        <v>10000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>
        <v>8</v>
      </c>
      <c r="W81" s="11">
        <v>400</v>
      </c>
      <c r="X81" s="11">
        <v>0</v>
      </c>
      <c r="Y81" s="11">
        <v>0</v>
      </c>
      <c r="Z81" s="11">
        <v>0</v>
      </c>
      <c r="AA81" s="11">
        <v>0</v>
      </c>
      <c r="AB81" s="11">
        <v>8</v>
      </c>
      <c r="AC81" s="11">
        <v>0</v>
      </c>
      <c r="AD81" s="12">
        <v>0</v>
      </c>
      <c r="AE81" s="11">
        <v>400</v>
      </c>
      <c r="AF81" s="11">
        <v>10800</v>
      </c>
      <c r="AG81" s="11">
        <v>1300</v>
      </c>
      <c r="AH81" s="11">
        <v>1890</v>
      </c>
      <c r="AI81" s="11">
        <v>1215</v>
      </c>
      <c r="AJ81" s="11">
        <v>1200</v>
      </c>
      <c r="AK81" s="11">
        <v>1890</v>
      </c>
      <c r="AL81" s="94">
        <v>0</v>
      </c>
      <c r="AM81" s="11">
        <v>940.92</v>
      </c>
      <c r="AN81" s="11">
        <v>0</v>
      </c>
      <c r="AO81" s="11">
        <v>0</v>
      </c>
      <c r="AP81" s="11">
        <v>0</v>
      </c>
      <c r="AQ81" s="11">
        <v>0</v>
      </c>
      <c r="AR81" s="11">
        <v>500</v>
      </c>
      <c r="AS81" s="11">
        <v>0</v>
      </c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>
        <v>16</v>
      </c>
      <c r="BV81" s="53">
        <v>1600</v>
      </c>
      <c r="BW81" s="53"/>
      <c r="BX81" s="53"/>
      <c r="BY81" s="11">
        <v>6</v>
      </c>
      <c r="BZ81" s="53">
        <v>900</v>
      </c>
      <c r="CA81" s="11">
        <v>0</v>
      </c>
      <c r="CB81" s="53">
        <v>0</v>
      </c>
      <c r="CC81" s="53"/>
      <c r="CD81" s="53"/>
      <c r="CE81" s="11">
        <v>0</v>
      </c>
      <c r="CF81" s="53">
        <v>0</v>
      </c>
      <c r="CG81" s="43">
        <v>8125</v>
      </c>
      <c r="CH81" s="11">
        <v>9735.92</v>
      </c>
      <c r="CI81" s="94">
        <v>0</v>
      </c>
      <c r="CJ81" s="11">
        <v>0</v>
      </c>
      <c r="CK81" s="13"/>
      <c r="CL81" s="13">
        <v>28660.92</v>
      </c>
      <c r="CM81" s="11"/>
      <c r="CN81" s="11"/>
      <c r="CO81" s="14">
        <v>324</v>
      </c>
      <c r="CP81" s="14"/>
      <c r="CQ81" s="14"/>
      <c r="CR81" s="94"/>
      <c r="CS81" s="94"/>
      <c r="CT81" s="11">
        <v>0</v>
      </c>
      <c r="CU81" s="11"/>
      <c r="CV81" s="11">
        <v>0</v>
      </c>
      <c r="CW81" s="11"/>
      <c r="CX81" s="11"/>
      <c r="CY81" s="11">
        <v>0</v>
      </c>
      <c r="CZ81" s="95">
        <f t="shared" si="4"/>
        <v>324</v>
      </c>
      <c r="DA81" s="13">
        <f t="shared" si="5"/>
        <v>28336.92</v>
      </c>
      <c r="DB81" s="61">
        <v>28933.72</v>
      </c>
      <c r="DC81" s="61">
        <v>28660.92</v>
      </c>
      <c r="DD81" s="61"/>
      <c r="DE81" s="61"/>
      <c r="DF81" s="61"/>
      <c r="DG81" s="61"/>
      <c r="DH81" s="61"/>
      <c r="DI81" s="61"/>
      <c r="DJ81" s="61"/>
      <c r="DK81" s="61"/>
      <c r="DL81" s="61"/>
      <c r="DM81" s="62"/>
      <c r="DN81" s="15">
        <v>57594.64</v>
      </c>
      <c r="DO81" s="16">
        <v>-31750.68</v>
      </c>
      <c r="DP81" s="17">
        <v>0</v>
      </c>
      <c r="DQ81" s="61">
        <v>224</v>
      </c>
      <c r="DR81" s="61">
        <v>324</v>
      </c>
      <c r="DS81" s="61"/>
      <c r="DT81" s="61"/>
      <c r="DU81" s="61"/>
      <c r="DV81" s="61"/>
      <c r="DW81" s="61"/>
      <c r="DX81" s="61"/>
      <c r="DY81" s="61"/>
      <c r="DZ81" s="61"/>
      <c r="EA81" s="61"/>
      <c r="EB81" s="14"/>
      <c r="EC81" s="15">
        <f t="shared" si="6"/>
        <v>548</v>
      </c>
      <c r="ED81" s="11">
        <f>CP81</f>
        <v>0</v>
      </c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14"/>
      <c r="EP81" s="15">
        <f t="shared" si="7"/>
        <v>0</v>
      </c>
    </row>
    <row r="82" spans="1:146" s="18" customFormat="1" ht="35" customHeight="1">
      <c r="A82" s="4">
        <v>64</v>
      </c>
      <c r="B82" s="59" t="s">
        <v>453</v>
      </c>
      <c r="C82" s="219" t="s">
        <v>324</v>
      </c>
      <c r="D82" s="7">
        <v>1449900486918</v>
      </c>
      <c r="E82" s="7" t="s">
        <v>325</v>
      </c>
      <c r="F82" s="8" t="s">
        <v>34</v>
      </c>
      <c r="G82" s="9">
        <v>45002</v>
      </c>
      <c r="H82" s="10" t="s">
        <v>76</v>
      </c>
      <c r="I82" s="11">
        <v>400</v>
      </c>
      <c r="J82" s="11">
        <v>25</v>
      </c>
      <c r="K82" s="11">
        <v>10000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>
        <v>8</v>
      </c>
      <c r="W82" s="11">
        <v>400</v>
      </c>
      <c r="X82" s="11">
        <v>0</v>
      </c>
      <c r="Y82" s="11">
        <v>0</v>
      </c>
      <c r="Z82" s="11">
        <v>0</v>
      </c>
      <c r="AA82" s="11">
        <v>0</v>
      </c>
      <c r="AB82" s="11">
        <v>8</v>
      </c>
      <c r="AC82" s="11">
        <v>0</v>
      </c>
      <c r="AD82" s="12">
        <v>0</v>
      </c>
      <c r="AE82" s="11">
        <v>400</v>
      </c>
      <c r="AF82" s="11">
        <v>10800</v>
      </c>
      <c r="AG82" s="11">
        <v>1300</v>
      </c>
      <c r="AH82" s="11">
        <v>1890</v>
      </c>
      <c r="AI82" s="11">
        <v>1215</v>
      </c>
      <c r="AJ82" s="11">
        <v>1200</v>
      </c>
      <c r="AK82" s="11">
        <v>1890</v>
      </c>
      <c r="AL82" s="94">
        <v>0</v>
      </c>
      <c r="AM82" s="11">
        <v>940.92</v>
      </c>
      <c r="AN82" s="11">
        <v>0</v>
      </c>
      <c r="AO82" s="11">
        <v>0</v>
      </c>
      <c r="AP82" s="11">
        <v>0</v>
      </c>
      <c r="AQ82" s="11">
        <v>0</v>
      </c>
      <c r="AR82" s="11">
        <v>500</v>
      </c>
      <c r="AS82" s="11">
        <v>0</v>
      </c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>
        <v>16</v>
      </c>
      <c r="BV82" s="53">
        <v>1600</v>
      </c>
      <c r="BW82" s="53"/>
      <c r="BX82" s="53"/>
      <c r="BY82" s="11">
        <v>6</v>
      </c>
      <c r="BZ82" s="53">
        <v>900</v>
      </c>
      <c r="CA82" s="11">
        <v>0</v>
      </c>
      <c r="CB82" s="53">
        <v>0</v>
      </c>
      <c r="CC82" s="53"/>
      <c r="CD82" s="53"/>
      <c r="CE82" s="11">
        <v>0</v>
      </c>
      <c r="CF82" s="53">
        <v>0</v>
      </c>
      <c r="CG82" s="43">
        <v>8125</v>
      </c>
      <c r="CH82" s="11">
        <v>9735.92</v>
      </c>
      <c r="CI82" s="94">
        <v>0</v>
      </c>
      <c r="CJ82" s="11">
        <v>0</v>
      </c>
      <c r="CK82" s="13"/>
      <c r="CL82" s="13">
        <v>28660.92</v>
      </c>
      <c r="CM82" s="11"/>
      <c r="CN82" s="11"/>
      <c r="CO82" s="14">
        <v>324</v>
      </c>
      <c r="CP82" s="14"/>
      <c r="CQ82" s="14"/>
      <c r="CR82" s="94"/>
      <c r="CS82" s="94"/>
      <c r="CT82" s="11">
        <v>0</v>
      </c>
      <c r="CU82" s="11"/>
      <c r="CV82" s="11">
        <v>0</v>
      </c>
      <c r="CW82" s="11"/>
      <c r="CX82" s="11"/>
      <c r="CY82" s="11">
        <v>0</v>
      </c>
      <c r="CZ82" s="95">
        <f t="shared" si="4"/>
        <v>324</v>
      </c>
      <c r="DA82" s="13">
        <f t="shared" si="5"/>
        <v>28336.92</v>
      </c>
      <c r="DB82" s="61">
        <v>28933.72</v>
      </c>
      <c r="DC82" s="61">
        <v>28660.92</v>
      </c>
      <c r="DD82" s="61"/>
      <c r="DE82" s="61"/>
      <c r="DF82" s="61"/>
      <c r="DG82" s="61"/>
      <c r="DH82" s="61"/>
      <c r="DI82" s="61"/>
      <c r="DJ82" s="61"/>
      <c r="DK82" s="61"/>
      <c r="DL82" s="61"/>
      <c r="DM82" s="62"/>
      <c r="DN82" s="15">
        <v>57594.64</v>
      </c>
      <c r="DO82" s="16">
        <v>-31750.68</v>
      </c>
      <c r="DP82" s="17">
        <v>0</v>
      </c>
      <c r="DQ82" s="61">
        <v>224</v>
      </c>
      <c r="DR82" s="61">
        <v>324</v>
      </c>
      <c r="DS82" s="61"/>
      <c r="DT82" s="61"/>
      <c r="DU82" s="61"/>
      <c r="DV82" s="61"/>
      <c r="DW82" s="61"/>
      <c r="DX82" s="61"/>
      <c r="DY82" s="61"/>
      <c r="DZ82" s="61"/>
      <c r="EA82" s="61"/>
      <c r="EB82" s="14"/>
      <c r="EC82" s="15">
        <f t="shared" si="6"/>
        <v>548</v>
      </c>
      <c r="ED82" s="11">
        <f>CP82</f>
        <v>0</v>
      </c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14"/>
      <c r="EP82" s="15">
        <f t="shared" si="7"/>
        <v>0</v>
      </c>
    </row>
    <row r="83" spans="1:146" s="18" customFormat="1" ht="35" customHeight="1">
      <c r="A83" s="4">
        <v>65</v>
      </c>
      <c r="B83" s="59" t="s">
        <v>454</v>
      </c>
      <c r="C83" s="219" t="s">
        <v>326</v>
      </c>
      <c r="D83" s="7">
        <v>1449900486919</v>
      </c>
      <c r="E83" s="7" t="s">
        <v>327</v>
      </c>
      <c r="F83" s="8" t="s">
        <v>34</v>
      </c>
      <c r="G83" s="9">
        <v>45003</v>
      </c>
      <c r="H83" s="10" t="s">
        <v>76</v>
      </c>
      <c r="I83" s="11">
        <v>400</v>
      </c>
      <c r="J83" s="11">
        <v>25</v>
      </c>
      <c r="K83" s="11">
        <v>10000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>
        <v>8</v>
      </c>
      <c r="W83" s="11">
        <v>400</v>
      </c>
      <c r="X83" s="11">
        <v>0</v>
      </c>
      <c r="Y83" s="11">
        <v>0</v>
      </c>
      <c r="Z83" s="11">
        <v>0</v>
      </c>
      <c r="AA83" s="11">
        <v>0</v>
      </c>
      <c r="AB83" s="11">
        <v>8</v>
      </c>
      <c r="AC83" s="11">
        <v>0</v>
      </c>
      <c r="AD83" s="12">
        <v>0</v>
      </c>
      <c r="AE83" s="11">
        <v>400</v>
      </c>
      <c r="AF83" s="11">
        <v>10800</v>
      </c>
      <c r="AG83" s="11">
        <v>1300</v>
      </c>
      <c r="AH83" s="11">
        <v>1890</v>
      </c>
      <c r="AI83" s="11">
        <v>1215</v>
      </c>
      <c r="AJ83" s="11">
        <v>1200</v>
      </c>
      <c r="AK83" s="11">
        <v>1890</v>
      </c>
      <c r="AL83" s="94">
        <v>0</v>
      </c>
      <c r="AM83" s="11">
        <v>940.92</v>
      </c>
      <c r="AN83" s="11">
        <v>0</v>
      </c>
      <c r="AO83" s="11">
        <v>0</v>
      </c>
      <c r="AP83" s="11">
        <v>0</v>
      </c>
      <c r="AQ83" s="11">
        <v>0</v>
      </c>
      <c r="AR83" s="11">
        <v>500</v>
      </c>
      <c r="AS83" s="11">
        <v>0</v>
      </c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>
        <v>16</v>
      </c>
      <c r="BV83" s="53">
        <v>1600</v>
      </c>
      <c r="BW83" s="53"/>
      <c r="BX83" s="53"/>
      <c r="BY83" s="11">
        <v>6</v>
      </c>
      <c r="BZ83" s="53">
        <v>900</v>
      </c>
      <c r="CA83" s="11">
        <v>0</v>
      </c>
      <c r="CB83" s="53">
        <v>0</v>
      </c>
      <c r="CC83" s="53"/>
      <c r="CD83" s="53"/>
      <c r="CE83" s="11">
        <v>0</v>
      </c>
      <c r="CF83" s="53">
        <v>0</v>
      </c>
      <c r="CG83" s="43">
        <v>8125</v>
      </c>
      <c r="CH83" s="11">
        <v>9735.92</v>
      </c>
      <c r="CI83" s="94">
        <v>0</v>
      </c>
      <c r="CJ83" s="11">
        <v>0</v>
      </c>
      <c r="CK83" s="13"/>
      <c r="CL83" s="13">
        <v>28660.92</v>
      </c>
      <c r="CM83" s="11"/>
      <c r="CN83" s="11"/>
      <c r="CO83" s="14">
        <v>324</v>
      </c>
      <c r="CP83" s="14"/>
      <c r="CQ83" s="14"/>
      <c r="CR83" s="94"/>
      <c r="CS83" s="94"/>
      <c r="CT83" s="11">
        <v>0</v>
      </c>
      <c r="CU83" s="11"/>
      <c r="CV83" s="11">
        <v>0</v>
      </c>
      <c r="CW83" s="11"/>
      <c r="CX83" s="11"/>
      <c r="CY83" s="11">
        <v>0</v>
      </c>
      <c r="CZ83" s="95">
        <f t="shared" si="4"/>
        <v>324</v>
      </c>
      <c r="DA83" s="13">
        <f t="shared" si="5"/>
        <v>28336.92</v>
      </c>
      <c r="DB83" s="61">
        <v>28933.72</v>
      </c>
      <c r="DC83" s="61">
        <v>28660.92</v>
      </c>
      <c r="DD83" s="61"/>
      <c r="DE83" s="61"/>
      <c r="DF83" s="61"/>
      <c r="DG83" s="61"/>
      <c r="DH83" s="61"/>
      <c r="DI83" s="61"/>
      <c r="DJ83" s="61"/>
      <c r="DK83" s="61"/>
      <c r="DL83" s="61"/>
      <c r="DM83" s="62"/>
      <c r="DN83" s="15">
        <v>57594.64</v>
      </c>
      <c r="DO83" s="16">
        <v>-31750.68</v>
      </c>
      <c r="DP83" s="17">
        <v>0</v>
      </c>
      <c r="DQ83" s="61">
        <v>224</v>
      </c>
      <c r="DR83" s="61">
        <v>324</v>
      </c>
      <c r="DS83" s="61"/>
      <c r="DT83" s="61"/>
      <c r="DU83" s="61"/>
      <c r="DV83" s="61"/>
      <c r="DW83" s="61"/>
      <c r="DX83" s="61"/>
      <c r="DY83" s="61"/>
      <c r="DZ83" s="61"/>
      <c r="EA83" s="61"/>
      <c r="EB83" s="14"/>
      <c r="EC83" s="15">
        <f t="shared" si="6"/>
        <v>548</v>
      </c>
      <c r="ED83" s="11">
        <f>CP83</f>
        <v>0</v>
      </c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14"/>
      <c r="EP83" s="15">
        <f t="shared" si="7"/>
        <v>0</v>
      </c>
    </row>
    <row r="84" spans="1:146" s="18" customFormat="1" ht="35" customHeight="1">
      <c r="A84" s="4">
        <v>66</v>
      </c>
      <c r="B84" s="59" t="s">
        <v>455</v>
      </c>
      <c r="C84" s="219" t="s">
        <v>328</v>
      </c>
      <c r="D84" s="7">
        <v>1449900486920</v>
      </c>
      <c r="E84" s="7" t="s">
        <v>329</v>
      </c>
      <c r="F84" s="8" t="s">
        <v>34</v>
      </c>
      <c r="G84" s="9">
        <v>45004</v>
      </c>
      <c r="H84" s="10" t="s">
        <v>76</v>
      </c>
      <c r="I84" s="11">
        <v>400</v>
      </c>
      <c r="J84" s="11">
        <v>25</v>
      </c>
      <c r="K84" s="11">
        <v>10000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>
        <v>8</v>
      </c>
      <c r="W84" s="11">
        <v>400</v>
      </c>
      <c r="X84" s="11">
        <v>0</v>
      </c>
      <c r="Y84" s="11">
        <v>0</v>
      </c>
      <c r="Z84" s="11">
        <v>0</v>
      </c>
      <c r="AA84" s="11">
        <v>0</v>
      </c>
      <c r="AB84" s="11">
        <v>8</v>
      </c>
      <c r="AC84" s="11">
        <v>0</v>
      </c>
      <c r="AD84" s="12">
        <v>0</v>
      </c>
      <c r="AE84" s="11">
        <v>400</v>
      </c>
      <c r="AF84" s="11">
        <v>10800</v>
      </c>
      <c r="AG84" s="11">
        <v>1300</v>
      </c>
      <c r="AH84" s="11">
        <v>1890</v>
      </c>
      <c r="AI84" s="11">
        <v>1215</v>
      </c>
      <c r="AJ84" s="11">
        <v>1200</v>
      </c>
      <c r="AK84" s="11">
        <v>1890</v>
      </c>
      <c r="AL84" s="94">
        <v>0</v>
      </c>
      <c r="AM84" s="11">
        <v>940.92</v>
      </c>
      <c r="AN84" s="11">
        <v>0</v>
      </c>
      <c r="AO84" s="11">
        <v>0</v>
      </c>
      <c r="AP84" s="11">
        <v>0</v>
      </c>
      <c r="AQ84" s="11">
        <v>0</v>
      </c>
      <c r="AR84" s="11">
        <v>500</v>
      </c>
      <c r="AS84" s="11">
        <v>0</v>
      </c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>
        <v>16</v>
      </c>
      <c r="BV84" s="53">
        <v>1600</v>
      </c>
      <c r="BW84" s="53"/>
      <c r="BX84" s="53"/>
      <c r="BY84" s="11">
        <v>6</v>
      </c>
      <c r="BZ84" s="53">
        <v>900</v>
      </c>
      <c r="CA84" s="11">
        <v>0</v>
      </c>
      <c r="CB84" s="53">
        <v>0</v>
      </c>
      <c r="CC84" s="53"/>
      <c r="CD84" s="53"/>
      <c r="CE84" s="11">
        <v>0</v>
      </c>
      <c r="CF84" s="53">
        <v>0</v>
      </c>
      <c r="CG84" s="43">
        <v>8125</v>
      </c>
      <c r="CH84" s="11">
        <v>9735.92</v>
      </c>
      <c r="CI84" s="94">
        <v>0</v>
      </c>
      <c r="CJ84" s="11">
        <v>0</v>
      </c>
      <c r="CK84" s="13"/>
      <c r="CL84" s="13">
        <v>28660.92</v>
      </c>
      <c r="CM84" s="11"/>
      <c r="CN84" s="11"/>
      <c r="CO84" s="14">
        <v>324</v>
      </c>
      <c r="CP84" s="14"/>
      <c r="CQ84" s="14"/>
      <c r="CR84" s="94"/>
      <c r="CS84" s="94"/>
      <c r="CT84" s="11">
        <v>0</v>
      </c>
      <c r="CU84" s="11"/>
      <c r="CV84" s="11">
        <v>0</v>
      </c>
      <c r="CW84" s="11"/>
      <c r="CX84" s="11"/>
      <c r="CY84" s="11">
        <v>0</v>
      </c>
      <c r="CZ84" s="95">
        <f t="shared" si="4"/>
        <v>324</v>
      </c>
      <c r="DA84" s="13">
        <f t="shared" si="5"/>
        <v>28336.92</v>
      </c>
      <c r="DB84" s="61">
        <v>28933.72</v>
      </c>
      <c r="DC84" s="61">
        <v>28660.92</v>
      </c>
      <c r="DD84" s="61"/>
      <c r="DE84" s="61"/>
      <c r="DF84" s="61"/>
      <c r="DG84" s="61"/>
      <c r="DH84" s="61"/>
      <c r="DI84" s="61"/>
      <c r="DJ84" s="61"/>
      <c r="DK84" s="61"/>
      <c r="DL84" s="61"/>
      <c r="DM84" s="62"/>
      <c r="DN84" s="15">
        <v>57594.64</v>
      </c>
      <c r="DO84" s="16">
        <v>-31750.68</v>
      </c>
      <c r="DP84" s="17">
        <v>0</v>
      </c>
      <c r="DQ84" s="61">
        <v>224</v>
      </c>
      <c r="DR84" s="61">
        <v>324</v>
      </c>
      <c r="DS84" s="61"/>
      <c r="DT84" s="61"/>
      <c r="DU84" s="61"/>
      <c r="DV84" s="61"/>
      <c r="DW84" s="61"/>
      <c r="DX84" s="61"/>
      <c r="DY84" s="61"/>
      <c r="DZ84" s="61"/>
      <c r="EA84" s="61"/>
      <c r="EB84" s="14"/>
      <c r="EC84" s="15">
        <f t="shared" si="6"/>
        <v>548</v>
      </c>
      <c r="ED84" s="11">
        <f>CP84</f>
        <v>0</v>
      </c>
      <c r="EE84" s="61"/>
      <c r="EF84" s="61"/>
      <c r="EG84" s="61"/>
      <c r="EH84" s="61"/>
      <c r="EI84" s="61"/>
      <c r="EJ84" s="61"/>
      <c r="EK84" s="61"/>
      <c r="EL84" s="61"/>
      <c r="EM84" s="61"/>
      <c r="EN84" s="61"/>
      <c r="EO84" s="14"/>
      <c r="EP84" s="15">
        <f t="shared" si="7"/>
        <v>0</v>
      </c>
    </row>
    <row r="85" spans="1:146" s="18" customFormat="1" ht="35" customHeight="1">
      <c r="A85" s="4">
        <v>67</v>
      </c>
      <c r="B85" s="59" t="s">
        <v>456</v>
      </c>
      <c r="C85" s="219" t="s">
        <v>330</v>
      </c>
      <c r="D85" s="7">
        <v>1449900486921</v>
      </c>
      <c r="E85" s="7" t="s">
        <v>331</v>
      </c>
      <c r="F85" s="8" t="s">
        <v>34</v>
      </c>
      <c r="G85" s="9">
        <v>45005</v>
      </c>
      <c r="H85" s="10" t="s">
        <v>76</v>
      </c>
      <c r="I85" s="11">
        <v>400</v>
      </c>
      <c r="J85" s="11">
        <v>25</v>
      </c>
      <c r="K85" s="11">
        <v>10000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>
        <v>8</v>
      </c>
      <c r="W85" s="11">
        <v>400</v>
      </c>
      <c r="X85" s="11">
        <v>0</v>
      </c>
      <c r="Y85" s="11">
        <v>0</v>
      </c>
      <c r="Z85" s="11">
        <v>0</v>
      </c>
      <c r="AA85" s="11">
        <v>0</v>
      </c>
      <c r="AB85" s="11">
        <v>8</v>
      </c>
      <c r="AC85" s="11">
        <v>0</v>
      </c>
      <c r="AD85" s="12">
        <v>0</v>
      </c>
      <c r="AE85" s="11">
        <v>400</v>
      </c>
      <c r="AF85" s="11">
        <v>10800</v>
      </c>
      <c r="AG85" s="11">
        <v>1300</v>
      </c>
      <c r="AH85" s="11">
        <v>1890</v>
      </c>
      <c r="AI85" s="11">
        <v>1215</v>
      </c>
      <c r="AJ85" s="11">
        <v>1200</v>
      </c>
      <c r="AK85" s="11">
        <v>1890</v>
      </c>
      <c r="AL85" s="94">
        <v>0</v>
      </c>
      <c r="AM85" s="11">
        <v>940.92</v>
      </c>
      <c r="AN85" s="11">
        <v>0</v>
      </c>
      <c r="AO85" s="11">
        <v>0</v>
      </c>
      <c r="AP85" s="11">
        <v>0</v>
      </c>
      <c r="AQ85" s="11">
        <v>0</v>
      </c>
      <c r="AR85" s="11">
        <v>500</v>
      </c>
      <c r="AS85" s="11">
        <v>0</v>
      </c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>
        <v>16</v>
      </c>
      <c r="BV85" s="53">
        <v>1600</v>
      </c>
      <c r="BW85" s="53"/>
      <c r="BX85" s="53"/>
      <c r="BY85" s="11">
        <v>6</v>
      </c>
      <c r="BZ85" s="53">
        <v>900</v>
      </c>
      <c r="CA85" s="11">
        <v>0</v>
      </c>
      <c r="CB85" s="53">
        <v>0</v>
      </c>
      <c r="CC85" s="53"/>
      <c r="CD85" s="53"/>
      <c r="CE85" s="11">
        <v>0</v>
      </c>
      <c r="CF85" s="53">
        <v>0</v>
      </c>
      <c r="CG85" s="43">
        <v>8125</v>
      </c>
      <c r="CH85" s="11">
        <v>9735.92</v>
      </c>
      <c r="CI85" s="94">
        <v>0</v>
      </c>
      <c r="CJ85" s="11">
        <v>0</v>
      </c>
      <c r="CK85" s="13"/>
      <c r="CL85" s="13">
        <v>28660.92</v>
      </c>
      <c r="CM85" s="11"/>
      <c r="CN85" s="11"/>
      <c r="CO85" s="14">
        <v>324</v>
      </c>
      <c r="CP85" s="14"/>
      <c r="CQ85" s="14"/>
      <c r="CR85" s="94"/>
      <c r="CS85" s="94"/>
      <c r="CT85" s="11">
        <v>0</v>
      </c>
      <c r="CU85" s="11"/>
      <c r="CV85" s="11">
        <v>0</v>
      </c>
      <c r="CW85" s="11"/>
      <c r="CX85" s="11"/>
      <c r="CY85" s="11">
        <v>0</v>
      </c>
      <c r="CZ85" s="95">
        <f t="shared" si="4"/>
        <v>324</v>
      </c>
      <c r="DA85" s="13">
        <f t="shared" si="5"/>
        <v>28336.92</v>
      </c>
      <c r="DB85" s="61">
        <v>28933.72</v>
      </c>
      <c r="DC85" s="61">
        <v>28660.92</v>
      </c>
      <c r="DD85" s="61"/>
      <c r="DE85" s="61"/>
      <c r="DF85" s="61"/>
      <c r="DG85" s="61"/>
      <c r="DH85" s="61"/>
      <c r="DI85" s="61"/>
      <c r="DJ85" s="61"/>
      <c r="DK85" s="61"/>
      <c r="DL85" s="61"/>
      <c r="DM85" s="62"/>
      <c r="DN85" s="15">
        <v>57594.64</v>
      </c>
      <c r="DO85" s="16">
        <v>-31750.68</v>
      </c>
      <c r="DP85" s="17">
        <v>0</v>
      </c>
      <c r="DQ85" s="61">
        <v>224</v>
      </c>
      <c r="DR85" s="61">
        <v>324</v>
      </c>
      <c r="DS85" s="61"/>
      <c r="DT85" s="61"/>
      <c r="DU85" s="61"/>
      <c r="DV85" s="61"/>
      <c r="DW85" s="61"/>
      <c r="DX85" s="61"/>
      <c r="DY85" s="61"/>
      <c r="DZ85" s="61"/>
      <c r="EA85" s="61"/>
      <c r="EB85" s="14"/>
      <c r="EC85" s="15">
        <f t="shared" si="6"/>
        <v>548</v>
      </c>
      <c r="ED85" s="11">
        <f>CP85</f>
        <v>0</v>
      </c>
      <c r="EE85" s="61"/>
      <c r="EF85" s="61"/>
      <c r="EG85" s="61"/>
      <c r="EH85" s="61"/>
      <c r="EI85" s="61"/>
      <c r="EJ85" s="61"/>
      <c r="EK85" s="61"/>
      <c r="EL85" s="61"/>
      <c r="EM85" s="61"/>
      <c r="EN85" s="61"/>
      <c r="EO85" s="14"/>
      <c r="EP85" s="15">
        <f t="shared" si="7"/>
        <v>0</v>
      </c>
    </row>
    <row r="86" spans="1:146" s="18" customFormat="1" ht="35" customHeight="1">
      <c r="A86" s="4">
        <v>68</v>
      </c>
      <c r="B86" s="59" t="s">
        <v>457</v>
      </c>
      <c r="C86" s="219" t="s">
        <v>332</v>
      </c>
      <c r="D86" s="7">
        <v>1449900486922</v>
      </c>
      <c r="E86" s="7" t="s">
        <v>333</v>
      </c>
      <c r="F86" s="8" t="s">
        <v>34</v>
      </c>
      <c r="G86" s="9">
        <v>45006</v>
      </c>
      <c r="H86" s="10" t="s">
        <v>76</v>
      </c>
      <c r="I86" s="11">
        <v>400</v>
      </c>
      <c r="J86" s="11">
        <v>25</v>
      </c>
      <c r="K86" s="11">
        <v>10000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>
        <v>8</v>
      </c>
      <c r="W86" s="11">
        <v>400</v>
      </c>
      <c r="X86" s="11">
        <v>0</v>
      </c>
      <c r="Y86" s="11">
        <v>0</v>
      </c>
      <c r="Z86" s="11">
        <v>0</v>
      </c>
      <c r="AA86" s="11">
        <v>0</v>
      </c>
      <c r="AB86" s="11">
        <v>8</v>
      </c>
      <c r="AC86" s="11">
        <v>0</v>
      </c>
      <c r="AD86" s="12">
        <v>0</v>
      </c>
      <c r="AE86" s="11">
        <v>400</v>
      </c>
      <c r="AF86" s="11">
        <v>10800</v>
      </c>
      <c r="AG86" s="11">
        <v>1300</v>
      </c>
      <c r="AH86" s="11">
        <v>1890</v>
      </c>
      <c r="AI86" s="11">
        <v>1215</v>
      </c>
      <c r="AJ86" s="11">
        <v>1200</v>
      </c>
      <c r="AK86" s="11">
        <v>1890</v>
      </c>
      <c r="AL86" s="94">
        <v>0</v>
      </c>
      <c r="AM86" s="11">
        <v>940.92</v>
      </c>
      <c r="AN86" s="11">
        <v>0</v>
      </c>
      <c r="AO86" s="11">
        <v>0</v>
      </c>
      <c r="AP86" s="11">
        <v>0</v>
      </c>
      <c r="AQ86" s="11">
        <v>0</v>
      </c>
      <c r="AR86" s="11">
        <v>500</v>
      </c>
      <c r="AS86" s="11">
        <v>0</v>
      </c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>
        <v>16</v>
      </c>
      <c r="BV86" s="53">
        <v>1600</v>
      </c>
      <c r="BW86" s="53"/>
      <c r="BX86" s="53"/>
      <c r="BY86" s="11">
        <v>6</v>
      </c>
      <c r="BZ86" s="53">
        <v>900</v>
      </c>
      <c r="CA86" s="11">
        <v>0</v>
      </c>
      <c r="CB86" s="53">
        <v>0</v>
      </c>
      <c r="CC86" s="53"/>
      <c r="CD86" s="53"/>
      <c r="CE86" s="11">
        <v>0</v>
      </c>
      <c r="CF86" s="53">
        <v>0</v>
      </c>
      <c r="CG86" s="43">
        <v>8125</v>
      </c>
      <c r="CH86" s="11">
        <v>9735.92</v>
      </c>
      <c r="CI86" s="94">
        <v>0</v>
      </c>
      <c r="CJ86" s="11">
        <v>0</v>
      </c>
      <c r="CK86" s="13"/>
      <c r="CL86" s="13">
        <v>28660.92</v>
      </c>
      <c r="CM86" s="11"/>
      <c r="CN86" s="11"/>
      <c r="CO86" s="14">
        <v>324</v>
      </c>
      <c r="CP86" s="14"/>
      <c r="CQ86" s="14"/>
      <c r="CR86" s="94"/>
      <c r="CS86" s="94"/>
      <c r="CT86" s="11">
        <v>0</v>
      </c>
      <c r="CU86" s="11"/>
      <c r="CV86" s="11">
        <v>0</v>
      </c>
      <c r="CW86" s="11"/>
      <c r="CX86" s="11"/>
      <c r="CY86" s="11">
        <v>0</v>
      </c>
      <c r="CZ86" s="95">
        <f t="shared" si="4"/>
        <v>324</v>
      </c>
      <c r="DA86" s="13">
        <f t="shared" si="5"/>
        <v>28336.92</v>
      </c>
      <c r="DB86" s="61">
        <v>28933.72</v>
      </c>
      <c r="DC86" s="61">
        <v>28660.92</v>
      </c>
      <c r="DD86" s="61"/>
      <c r="DE86" s="61"/>
      <c r="DF86" s="61"/>
      <c r="DG86" s="61"/>
      <c r="DH86" s="61"/>
      <c r="DI86" s="61"/>
      <c r="DJ86" s="61"/>
      <c r="DK86" s="61"/>
      <c r="DL86" s="61"/>
      <c r="DM86" s="62"/>
      <c r="DN86" s="15">
        <v>57594.64</v>
      </c>
      <c r="DO86" s="16">
        <v>-31750.68</v>
      </c>
      <c r="DP86" s="17">
        <v>0</v>
      </c>
      <c r="DQ86" s="61">
        <v>224</v>
      </c>
      <c r="DR86" s="61">
        <v>324</v>
      </c>
      <c r="DS86" s="61"/>
      <c r="DT86" s="61"/>
      <c r="DU86" s="61"/>
      <c r="DV86" s="61"/>
      <c r="DW86" s="61"/>
      <c r="DX86" s="61"/>
      <c r="DY86" s="61"/>
      <c r="DZ86" s="61"/>
      <c r="EA86" s="61"/>
      <c r="EB86" s="14"/>
      <c r="EC86" s="15">
        <f t="shared" si="6"/>
        <v>548</v>
      </c>
      <c r="ED86" s="11">
        <f>CP86</f>
        <v>0</v>
      </c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14"/>
      <c r="EP86" s="15">
        <f t="shared" si="7"/>
        <v>0</v>
      </c>
    </row>
    <row r="87" spans="1:146" s="18" customFormat="1" ht="35" customHeight="1">
      <c r="A87" s="4">
        <v>69</v>
      </c>
      <c r="B87" s="59" t="s">
        <v>458</v>
      </c>
      <c r="C87" s="219" t="s">
        <v>334</v>
      </c>
      <c r="D87" s="7">
        <v>1449900486923</v>
      </c>
      <c r="E87" s="7" t="s">
        <v>335</v>
      </c>
      <c r="F87" s="8" t="s">
        <v>34</v>
      </c>
      <c r="G87" s="9">
        <v>45007</v>
      </c>
      <c r="H87" s="10" t="s">
        <v>76</v>
      </c>
      <c r="I87" s="11">
        <v>400</v>
      </c>
      <c r="J87" s="11">
        <v>25</v>
      </c>
      <c r="K87" s="11">
        <v>10000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>
        <v>8</v>
      </c>
      <c r="W87" s="11">
        <v>400</v>
      </c>
      <c r="X87" s="11">
        <v>0</v>
      </c>
      <c r="Y87" s="11">
        <v>0</v>
      </c>
      <c r="Z87" s="11">
        <v>0</v>
      </c>
      <c r="AA87" s="11">
        <v>0</v>
      </c>
      <c r="AB87" s="11">
        <v>8</v>
      </c>
      <c r="AC87" s="11">
        <v>0</v>
      </c>
      <c r="AD87" s="12">
        <v>0</v>
      </c>
      <c r="AE87" s="11">
        <v>400</v>
      </c>
      <c r="AF87" s="11">
        <v>10800</v>
      </c>
      <c r="AG87" s="11">
        <v>1300</v>
      </c>
      <c r="AH87" s="11">
        <v>1890</v>
      </c>
      <c r="AI87" s="11">
        <v>1215</v>
      </c>
      <c r="AJ87" s="11">
        <v>1200</v>
      </c>
      <c r="AK87" s="11">
        <v>1890</v>
      </c>
      <c r="AL87" s="94">
        <v>0</v>
      </c>
      <c r="AM87" s="11">
        <v>940.92</v>
      </c>
      <c r="AN87" s="11">
        <v>0</v>
      </c>
      <c r="AO87" s="11">
        <v>0</v>
      </c>
      <c r="AP87" s="11">
        <v>0</v>
      </c>
      <c r="AQ87" s="11">
        <v>0</v>
      </c>
      <c r="AR87" s="11">
        <v>500</v>
      </c>
      <c r="AS87" s="11">
        <v>0</v>
      </c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>
        <v>16</v>
      </c>
      <c r="BV87" s="53">
        <v>1600</v>
      </c>
      <c r="BW87" s="53"/>
      <c r="BX87" s="53"/>
      <c r="BY87" s="11">
        <v>6</v>
      </c>
      <c r="BZ87" s="53">
        <v>900</v>
      </c>
      <c r="CA87" s="11">
        <v>0</v>
      </c>
      <c r="CB87" s="53">
        <v>0</v>
      </c>
      <c r="CC87" s="53"/>
      <c r="CD87" s="53"/>
      <c r="CE87" s="11">
        <v>0</v>
      </c>
      <c r="CF87" s="53">
        <v>0</v>
      </c>
      <c r="CG87" s="43">
        <v>8125</v>
      </c>
      <c r="CH87" s="11">
        <v>9735.92</v>
      </c>
      <c r="CI87" s="94">
        <v>0</v>
      </c>
      <c r="CJ87" s="11">
        <v>0</v>
      </c>
      <c r="CK87" s="13"/>
      <c r="CL87" s="13">
        <v>28660.92</v>
      </c>
      <c r="CM87" s="11"/>
      <c r="CN87" s="11"/>
      <c r="CO87" s="14">
        <v>324</v>
      </c>
      <c r="CP87" s="14"/>
      <c r="CQ87" s="14"/>
      <c r="CR87" s="94"/>
      <c r="CS87" s="94"/>
      <c r="CT87" s="11">
        <v>0</v>
      </c>
      <c r="CU87" s="11"/>
      <c r="CV87" s="11">
        <v>0</v>
      </c>
      <c r="CW87" s="11"/>
      <c r="CX87" s="11"/>
      <c r="CY87" s="11">
        <v>0</v>
      </c>
      <c r="CZ87" s="95">
        <f t="shared" si="4"/>
        <v>324</v>
      </c>
      <c r="DA87" s="13">
        <f t="shared" si="5"/>
        <v>28336.92</v>
      </c>
      <c r="DB87" s="61">
        <v>28933.72</v>
      </c>
      <c r="DC87" s="61">
        <v>28660.92</v>
      </c>
      <c r="DD87" s="61"/>
      <c r="DE87" s="61"/>
      <c r="DF87" s="61"/>
      <c r="DG87" s="61"/>
      <c r="DH87" s="61"/>
      <c r="DI87" s="61"/>
      <c r="DJ87" s="61"/>
      <c r="DK87" s="61"/>
      <c r="DL87" s="61"/>
      <c r="DM87" s="62"/>
      <c r="DN87" s="15">
        <v>57594.64</v>
      </c>
      <c r="DO87" s="16">
        <v>-31750.68</v>
      </c>
      <c r="DP87" s="17">
        <v>0</v>
      </c>
      <c r="DQ87" s="61">
        <v>224</v>
      </c>
      <c r="DR87" s="61">
        <v>324</v>
      </c>
      <c r="DS87" s="61"/>
      <c r="DT87" s="61"/>
      <c r="DU87" s="61"/>
      <c r="DV87" s="61"/>
      <c r="DW87" s="61"/>
      <c r="DX87" s="61"/>
      <c r="DY87" s="61"/>
      <c r="DZ87" s="61"/>
      <c r="EA87" s="61"/>
      <c r="EB87" s="14"/>
      <c r="EC87" s="15">
        <f t="shared" si="6"/>
        <v>548</v>
      </c>
      <c r="ED87" s="11">
        <f>CP87</f>
        <v>0</v>
      </c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14"/>
      <c r="EP87" s="15">
        <f t="shared" si="7"/>
        <v>0</v>
      </c>
    </row>
    <row r="88" spans="1:146" s="18" customFormat="1" ht="35" customHeight="1">
      <c r="A88" s="4">
        <v>70</v>
      </c>
      <c r="B88" s="59" t="s">
        <v>459</v>
      </c>
      <c r="C88" s="219" t="s">
        <v>336</v>
      </c>
      <c r="D88" s="7">
        <v>1449900486924</v>
      </c>
      <c r="E88" s="7" t="s">
        <v>337</v>
      </c>
      <c r="F88" s="8" t="s">
        <v>34</v>
      </c>
      <c r="G88" s="9">
        <v>45008</v>
      </c>
      <c r="H88" s="10" t="s">
        <v>76</v>
      </c>
      <c r="I88" s="11">
        <v>400</v>
      </c>
      <c r="J88" s="11">
        <v>25</v>
      </c>
      <c r="K88" s="11">
        <v>10000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>
        <v>8</v>
      </c>
      <c r="W88" s="11">
        <v>400</v>
      </c>
      <c r="X88" s="11">
        <v>0</v>
      </c>
      <c r="Y88" s="11">
        <v>0</v>
      </c>
      <c r="Z88" s="11">
        <v>0</v>
      </c>
      <c r="AA88" s="11">
        <v>0</v>
      </c>
      <c r="AB88" s="11">
        <v>8</v>
      </c>
      <c r="AC88" s="11">
        <v>0</v>
      </c>
      <c r="AD88" s="12">
        <v>0</v>
      </c>
      <c r="AE88" s="11">
        <v>400</v>
      </c>
      <c r="AF88" s="11">
        <v>10800</v>
      </c>
      <c r="AG88" s="11">
        <v>1300</v>
      </c>
      <c r="AH88" s="11">
        <v>1890</v>
      </c>
      <c r="AI88" s="11">
        <v>1215</v>
      </c>
      <c r="AJ88" s="11">
        <v>1200</v>
      </c>
      <c r="AK88" s="11">
        <v>1890</v>
      </c>
      <c r="AL88" s="94">
        <v>0</v>
      </c>
      <c r="AM88" s="11">
        <v>940.92</v>
      </c>
      <c r="AN88" s="11">
        <v>0</v>
      </c>
      <c r="AO88" s="11">
        <v>0</v>
      </c>
      <c r="AP88" s="11">
        <v>0</v>
      </c>
      <c r="AQ88" s="11">
        <v>0</v>
      </c>
      <c r="AR88" s="11">
        <v>500</v>
      </c>
      <c r="AS88" s="11">
        <v>0</v>
      </c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>
        <v>16</v>
      </c>
      <c r="BV88" s="53">
        <v>1600</v>
      </c>
      <c r="BW88" s="53"/>
      <c r="BX88" s="53"/>
      <c r="BY88" s="11">
        <v>6</v>
      </c>
      <c r="BZ88" s="53">
        <v>900</v>
      </c>
      <c r="CA88" s="11">
        <v>0</v>
      </c>
      <c r="CB88" s="53">
        <v>0</v>
      </c>
      <c r="CC88" s="53"/>
      <c r="CD88" s="53"/>
      <c r="CE88" s="11">
        <v>0</v>
      </c>
      <c r="CF88" s="53">
        <v>0</v>
      </c>
      <c r="CG88" s="43">
        <v>8125</v>
      </c>
      <c r="CH88" s="11">
        <v>9735.92</v>
      </c>
      <c r="CI88" s="94">
        <v>0</v>
      </c>
      <c r="CJ88" s="11">
        <v>0</v>
      </c>
      <c r="CK88" s="13"/>
      <c r="CL88" s="13">
        <v>28660.92</v>
      </c>
      <c r="CM88" s="11"/>
      <c r="CN88" s="11"/>
      <c r="CO88" s="14">
        <v>324</v>
      </c>
      <c r="CP88" s="14"/>
      <c r="CQ88" s="14"/>
      <c r="CR88" s="94"/>
      <c r="CS88" s="94"/>
      <c r="CT88" s="11">
        <v>0</v>
      </c>
      <c r="CU88" s="11"/>
      <c r="CV88" s="11">
        <v>0</v>
      </c>
      <c r="CW88" s="11"/>
      <c r="CX88" s="11"/>
      <c r="CY88" s="11">
        <v>0</v>
      </c>
      <c r="CZ88" s="95">
        <f t="shared" si="4"/>
        <v>324</v>
      </c>
      <c r="DA88" s="13">
        <f t="shared" si="5"/>
        <v>28336.92</v>
      </c>
      <c r="DB88" s="61">
        <v>28933.72</v>
      </c>
      <c r="DC88" s="61">
        <v>28660.92</v>
      </c>
      <c r="DD88" s="61"/>
      <c r="DE88" s="61"/>
      <c r="DF88" s="61"/>
      <c r="DG88" s="61"/>
      <c r="DH88" s="61"/>
      <c r="DI88" s="61"/>
      <c r="DJ88" s="61"/>
      <c r="DK88" s="61"/>
      <c r="DL88" s="61"/>
      <c r="DM88" s="62"/>
      <c r="DN88" s="15">
        <v>57594.64</v>
      </c>
      <c r="DO88" s="16">
        <v>-31750.68</v>
      </c>
      <c r="DP88" s="17">
        <v>0</v>
      </c>
      <c r="DQ88" s="61">
        <v>224</v>
      </c>
      <c r="DR88" s="61">
        <v>324</v>
      </c>
      <c r="DS88" s="61"/>
      <c r="DT88" s="61"/>
      <c r="DU88" s="61"/>
      <c r="DV88" s="61"/>
      <c r="DW88" s="61"/>
      <c r="DX88" s="61"/>
      <c r="DY88" s="61"/>
      <c r="DZ88" s="61"/>
      <c r="EA88" s="61"/>
      <c r="EB88" s="14"/>
      <c r="EC88" s="15">
        <f t="shared" si="6"/>
        <v>548</v>
      </c>
      <c r="ED88" s="11">
        <f>CP88</f>
        <v>0</v>
      </c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14"/>
      <c r="EP88" s="15">
        <f t="shared" si="7"/>
        <v>0</v>
      </c>
    </row>
    <row r="89" spans="1:146" s="18" customFormat="1" ht="35" customHeight="1">
      <c r="A89" s="4">
        <v>71</v>
      </c>
      <c r="B89" s="59" t="s">
        <v>460</v>
      </c>
      <c r="C89" s="219" t="s">
        <v>338</v>
      </c>
      <c r="D89" s="7">
        <v>1449900486925</v>
      </c>
      <c r="E89" s="7" t="s">
        <v>339</v>
      </c>
      <c r="F89" s="8" t="s">
        <v>34</v>
      </c>
      <c r="G89" s="9">
        <v>45009</v>
      </c>
      <c r="H89" s="10" t="s">
        <v>76</v>
      </c>
      <c r="I89" s="11">
        <v>400</v>
      </c>
      <c r="J89" s="11">
        <v>25</v>
      </c>
      <c r="K89" s="11">
        <v>10000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>
        <v>8</v>
      </c>
      <c r="W89" s="11">
        <v>400</v>
      </c>
      <c r="X89" s="11">
        <v>0</v>
      </c>
      <c r="Y89" s="11">
        <v>0</v>
      </c>
      <c r="Z89" s="11">
        <v>0</v>
      </c>
      <c r="AA89" s="11">
        <v>0</v>
      </c>
      <c r="AB89" s="11">
        <v>8</v>
      </c>
      <c r="AC89" s="11">
        <v>0</v>
      </c>
      <c r="AD89" s="12">
        <v>0</v>
      </c>
      <c r="AE89" s="11">
        <v>400</v>
      </c>
      <c r="AF89" s="11">
        <v>10800</v>
      </c>
      <c r="AG89" s="11">
        <v>1300</v>
      </c>
      <c r="AH89" s="11">
        <v>1890</v>
      </c>
      <c r="AI89" s="11">
        <v>1215</v>
      </c>
      <c r="AJ89" s="11">
        <v>1200</v>
      </c>
      <c r="AK89" s="11">
        <v>1890</v>
      </c>
      <c r="AL89" s="94">
        <v>0</v>
      </c>
      <c r="AM89" s="11">
        <v>940.92</v>
      </c>
      <c r="AN89" s="11">
        <v>0</v>
      </c>
      <c r="AO89" s="11">
        <v>0</v>
      </c>
      <c r="AP89" s="11">
        <v>0</v>
      </c>
      <c r="AQ89" s="11">
        <v>0</v>
      </c>
      <c r="AR89" s="11">
        <v>500</v>
      </c>
      <c r="AS89" s="11">
        <v>0</v>
      </c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>
        <v>16</v>
      </c>
      <c r="BV89" s="53">
        <v>1600</v>
      </c>
      <c r="BW89" s="53"/>
      <c r="BX89" s="53"/>
      <c r="BY89" s="11">
        <v>6</v>
      </c>
      <c r="BZ89" s="53">
        <v>900</v>
      </c>
      <c r="CA89" s="11">
        <v>0</v>
      </c>
      <c r="CB89" s="53">
        <v>0</v>
      </c>
      <c r="CC89" s="53"/>
      <c r="CD89" s="53"/>
      <c r="CE89" s="11">
        <v>0</v>
      </c>
      <c r="CF89" s="53">
        <v>0</v>
      </c>
      <c r="CG89" s="43">
        <v>8125</v>
      </c>
      <c r="CH89" s="11">
        <v>9735.92</v>
      </c>
      <c r="CI89" s="94">
        <v>0</v>
      </c>
      <c r="CJ89" s="11">
        <v>0</v>
      </c>
      <c r="CK89" s="13"/>
      <c r="CL89" s="13">
        <v>28660.92</v>
      </c>
      <c r="CM89" s="11"/>
      <c r="CN89" s="11"/>
      <c r="CO89" s="14">
        <v>324</v>
      </c>
      <c r="CP89" s="14"/>
      <c r="CQ89" s="14"/>
      <c r="CR89" s="94"/>
      <c r="CS89" s="94"/>
      <c r="CT89" s="11">
        <v>0</v>
      </c>
      <c r="CU89" s="11"/>
      <c r="CV89" s="11">
        <v>0</v>
      </c>
      <c r="CW89" s="11"/>
      <c r="CX89" s="11"/>
      <c r="CY89" s="11">
        <v>0</v>
      </c>
      <c r="CZ89" s="95">
        <f t="shared" ref="CZ89:CZ118" si="8">SUM(CM89:CY89)</f>
        <v>324</v>
      </c>
      <c r="DA89" s="13">
        <f t="shared" ref="DA89:DA118" si="9">CL89-CZ89</f>
        <v>28336.92</v>
      </c>
      <c r="DB89" s="61">
        <v>28933.72</v>
      </c>
      <c r="DC89" s="61">
        <v>28660.92</v>
      </c>
      <c r="DD89" s="61"/>
      <c r="DE89" s="61"/>
      <c r="DF89" s="61"/>
      <c r="DG89" s="61"/>
      <c r="DH89" s="61"/>
      <c r="DI89" s="61"/>
      <c r="DJ89" s="61"/>
      <c r="DK89" s="61"/>
      <c r="DL89" s="61"/>
      <c r="DM89" s="62"/>
      <c r="DN89" s="15">
        <v>57594.64</v>
      </c>
      <c r="DO89" s="16">
        <v>-31750.68</v>
      </c>
      <c r="DP89" s="17">
        <v>0</v>
      </c>
      <c r="DQ89" s="61">
        <v>224</v>
      </c>
      <c r="DR89" s="61">
        <v>324</v>
      </c>
      <c r="DS89" s="61"/>
      <c r="DT89" s="61"/>
      <c r="DU89" s="61"/>
      <c r="DV89" s="61"/>
      <c r="DW89" s="61"/>
      <c r="DX89" s="61"/>
      <c r="DY89" s="61"/>
      <c r="DZ89" s="61"/>
      <c r="EA89" s="61"/>
      <c r="EB89" s="14"/>
      <c r="EC89" s="15">
        <f t="shared" si="6"/>
        <v>548</v>
      </c>
      <c r="ED89" s="11">
        <f>CP89</f>
        <v>0</v>
      </c>
      <c r="EE89" s="61"/>
      <c r="EF89" s="61"/>
      <c r="EG89" s="61"/>
      <c r="EH89" s="61"/>
      <c r="EI89" s="61"/>
      <c r="EJ89" s="61"/>
      <c r="EK89" s="61"/>
      <c r="EL89" s="61"/>
      <c r="EM89" s="61"/>
      <c r="EN89" s="61"/>
      <c r="EO89" s="14"/>
      <c r="EP89" s="15">
        <f t="shared" si="7"/>
        <v>0</v>
      </c>
    </row>
    <row r="90" spans="1:146" s="18" customFormat="1" ht="35" customHeight="1">
      <c r="A90" s="4">
        <v>72</v>
      </c>
      <c r="B90" s="59" t="s">
        <v>461</v>
      </c>
      <c r="C90" s="219" t="s">
        <v>340</v>
      </c>
      <c r="D90" s="7">
        <v>1449900486926</v>
      </c>
      <c r="E90" s="7" t="s">
        <v>341</v>
      </c>
      <c r="F90" s="8" t="s">
        <v>34</v>
      </c>
      <c r="G90" s="9">
        <v>45010</v>
      </c>
      <c r="H90" s="10" t="s">
        <v>76</v>
      </c>
      <c r="I90" s="11">
        <v>400</v>
      </c>
      <c r="J90" s="11">
        <v>25</v>
      </c>
      <c r="K90" s="11">
        <v>10000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>
        <v>8</v>
      </c>
      <c r="W90" s="11">
        <v>400</v>
      </c>
      <c r="X90" s="11">
        <v>0</v>
      </c>
      <c r="Y90" s="11">
        <v>0</v>
      </c>
      <c r="Z90" s="11">
        <v>0</v>
      </c>
      <c r="AA90" s="11">
        <v>0</v>
      </c>
      <c r="AB90" s="11">
        <v>8</v>
      </c>
      <c r="AC90" s="11">
        <v>0</v>
      </c>
      <c r="AD90" s="12">
        <v>0</v>
      </c>
      <c r="AE90" s="11">
        <v>400</v>
      </c>
      <c r="AF90" s="11">
        <v>10800</v>
      </c>
      <c r="AG90" s="11">
        <v>1300</v>
      </c>
      <c r="AH90" s="11">
        <v>1890</v>
      </c>
      <c r="AI90" s="11">
        <v>1215</v>
      </c>
      <c r="AJ90" s="11">
        <v>1200</v>
      </c>
      <c r="AK90" s="11">
        <v>1890</v>
      </c>
      <c r="AL90" s="94">
        <v>0</v>
      </c>
      <c r="AM90" s="11">
        <v>940.92</v>
      </c>
      <c r="AN90" s="11">
        <v>0</v>
      </c>
      <c r="AO90" s="11">
        <v>0</v>
      </c>
      <c r="AP90" s="11">
        <v>0</v>
      </c>
      <c r="AQ90" s="11">
        <v>0</v>
      </c>
      <c r="AR90" s="11">
        <v>500</v>
      </c>
      <c r="AS90" s="11">
        <v>0</v>
      </c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>
        <v>16</v>
      </c>
      <c r="BV90" s="53">
        <v>1600</v>
      </c>
      <c r="BW90" s="53"/>
      <c r="BX90" s="53"/>
      <c r="BY90" s="11">
        <v>6</v>
      </c>
      <c r="BZ90" s="53">
        <v>900</v>
      </c>
      <c r="CA90" s="11">
        <v>0</v>
      </c>
      <c r="CB90" s="53">
        <v>0</v>
      </c>
      <c r="CC90" s="53"/>
      <c r="CD90" s="53"/>
      <c r="CE90" s="11">
        <v>0</v>
      </c>
      <c r="CF90" s="53">
        <v>0</v>
      </c>
      <c r="CG90" s="43">
        <v>8125</v>
      </c>
      <c r="CH90" s="11">
        <v>9735.92</v>
      </c>
      <c r="CI90" s="94">
        <v>0</v>
      </c>
      <c r="CJ90" s="11">
        <v>0</v>
      </c>
      <c r="CK90" s="13"/>
      <c r="CL90" s="13">
        <v>28660.92</v>
      </c>
      <c r="CM90" s="11"/>
      <c r="CN90" s="11"/>
      <c r="CO90" s="14">
        <v>324</v>
      </c>
      <c r="CP90" s="14"/>
      <c r="CQ90" s="14"/>
      <c r="CR90" s="94"/>
      <c r="CS90" s="94"/>
      <c r="CT90" s="11">
        <v>0</v>
      </c>
      <c r="CU90" s="11"/>
      <c r="CV90" s="11">
        <v>0</v>
      </c>
      <c r="CW90" s="11"/>
      <c r="CX90" s="11"/>
      <c r="CY90" s="11">
        <v>0</v>
      </c>
      <c r="CZ90" s="95">
        <f t="shared" si="8"/>
        <v>324</v>
      </c>
      <c r="DA90" s="13">
        <f t="shared" si="9"/>
        <v>28336.92</v>
      </c>
      <c r="DB90" s="61">
        <v>28933.72</v>
      </c>
      <c r="DC90" s="61">
        <v>28660.92</v>
      </c>
      <c r="DD90" s="61"/>
      <c r="DE90" s="61"/>
      <c r="DF90" s="61"/>
      <c r="DG90" s="61"/>
      <c r="DH90" s="61"/>
      <c r="DI90" s="61"/>
      <c r="DJ90" s="61"/>
      <c r="DK90" s="61"/>
      <c r="DL90" s="61"/>
      <c r="DM90" s="62"/>
      <c r="DN90" s="15">
        <v>57594.64</v>
      </c>
      <c r="DO90" s="16">
        <v>-31750.68</v>
      </c>
      <c r="DP90" s="17">
        <v>0</v>
      </c>
      <c r="DQ90" s="61">
        <v>224</v>
      </c>
      <c r="DR90" s="61">
        <v>324</v>
      </c>
      <c r="DS90" s="61"/>
      <c r="DT90" s="61"/>
      <c r="DU90" s="61"/>
      <c r="DV90" s="61"/>
      <c r="DW90" s="61"/>
      <c r="DX90" s="61"/>
      <c r="DY90" s="61"/>
      <c r="DZ90" s="61"/>
      <c r="EA90" s="61"/>
      <c r="EB90" s="14"/>
      <c r="EC90" s="15">
        <f t="shared" ref="EC90:EC118" si="10">SUM(DQ90:EB90)</f>
        <v>548</v>
      </c>
      <c r="ED90" s="11">
        <f>CP90</f>
        <v>0</v>
      </c>
      <c r="EE90" s="61"/>
      <c r="EF90" s="61"/>
      <c r="EG90" s="61"/>
      <c r="EH90" s="61"/>
      <c r="EI90" s="61"/>
      <c r="EJ90" s="61"/>
      <c r="EK90" s="61"/>
      <c r="EL90" s="61"/>
      <c r="EM90" s="61"/>
      <c r="EN90" s="61"/>
      <c r="EO90" s="14"/>
      <c r="EP90" s="15">
        <f t="shared" ref="EP90:EP118" si="11">SUM(ED90:EO90)</f>
        <v>0</v>
      </c>
    </row>
    <row r="91" spans="1:146" s="18" customFormat="1" ht="35" customHeight="1">
      <c r="A91" s="4">
        <v>73</v>
      </c>
      <c r="B91" s="59" t="s">
        <v>462</v>
      </c>
      <c r="C91" s="219" t="s">
        <v>342</v>
      </c>
      <c r="D91" s="7">
        <v>1449900486927</v>
      </c>
      <c r="E91" s="7" t="s">
        <v>343</v>
      </c>
      <c r="F91" s="8" t="s">
        <v>34</v>
      </c>
      <c r="G91" s="9">
        <v>45011</v>
      </c>
      <c r="H91" s="10" t="s">
        <v>76</v>
      </c>
      <c r="I91" s="11">
        <v>400</v>
      </c>
      <c r="J91" s="11">
        <v>25</v>
      </c>
      <c r="K91" s="11">
        <v>10000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>
        <v>8</v>
      </c>
      <c r="W91" s="11">
        <v>400</v>
      </c>
      <c r="X91" s="11">
        <v>0</v>
      </c>
      <c r="Y91" s="11">
        <v>0</v>
      </c>
      <c r="Z91" s="11">
        <v>0</v>
      </c>
      <c r="AA91" s="11">
        <v>0</v>
      </c>
      <c r="AB91" s="11">
        <v>8</v>
      </c>
      <c r="AC91" s="11">
        <v>0</v>
      </c>
      <c r="AD91" s="12">
        <v>0</v>
      </c>
      <c r="AE91" s="11">
        <v>400</v>
      </c>
      <c r="AF91" s="11">
        <v>10800</v>
      </c>
      <c r="AG91" s="11">
        <v>1300</v>
      </c>
      <c r="AH91" s="11">
        <v>1890</v>
      </c>
      <c r="AI91" s="11">
        <v>1215</v>
      </c>
      <c r="AJ91" s="11">
        <v>1200</v>
      </c>
      <c r="AK91" s="11">
        <v>1890</v>
      </c>
      <c r="AL91" s="94">
        <v>0</v>
      </c>
      <c r="AM91" s="11">
        <v>940.92</v>
      </c>
      <c r="AN91" s="11">
        <v>0</v>
      </c>
      <c r="AO91" s="11">
        <v>0</v>
      </c>
      <c r="AP91" s="11">
        <v>0</v>
      </c>
      <c r="AQ91" s="11">
        <v>0</v>
      </c>
      <c r="AR91" s="11">
        <v>500</v>
      </c>
      <c r="AS91" s="11">
        <v>0</v>
      </c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>
        <v>16</v>
      </c>
      <c r="BV91" s="53">
        <v>1600</v>
      </c>
      <c r="BW91" s="53"/>
      <c r="BX91" s="53"/>
      <c r="BY91" s="11">
        <v>6</v>
      </c>
      <c r="BZ91" s="53">
        <v>900</v>
      </c>
      <c r="CA91" s="11">
        <v>0</v>
      </c>
      <c r="CB91" s="53">
        <v>0</v>
      </c>
      <c r="CC91" s="53"/>
      <c r="CD91" s="53"/>
      <c r="CE91" s="11">
        <v>0</v>
      </c>
      <c r="CF91" s="53">
        <v>0</v>
      </c>
      <c r="CG91" s="43">
        <v>8125</v>
      </c>
      <c r="CH91" s="11">
        <v>9735.92</v>
      </c>
      <c r="CI91" s="94">
        <v>0</v>
      </c>
      <c r="CJ91" s="11">
        <v>0</v>
      </c>
      <c r="CK91" s="13"/>
      <c r="CL91" s="13">
        <v>28660.92</v>
      </c>
      <c r="CM91" s="11"/>
      <c r="CN91" s="11"/>
      <c r="CO91" s="14">
        <v>324</v>
      </c>
      <c r="CP91" s="14"/>
      <c r="CQ91" s="14"/>
      <c r="CR91" s="94"/>
      <c r="CS91" s="94"/>
      <c r="CT91" s="11">
        <v>0</v>
      </c>
      <c r="CU91" s="11"/>
      <c r="CV91" s="11">
        <v>0</v>
      </c>
      <c r="CW91" s="11"/>
      <c r="CX91" s="11"/>
      <c r="CY91" s="11">
        <v>0</v>
      </c>
      <c r="CZ91" s="95">
        <f t="shared" si="8"/>
        <v>324</v>
      </c>
      <c r="DA91" s="13">
        <f t="shared" si="9"/>
        <v>28336.92</v>
      </c>
      <c r="DB91" s="61">
        <v>28933.72</v>
      </c>
      <c r="DC91" s="61">
        <v>28660.92</v>
      </c>
      <c r="DD91" s="61"/>
      <c r="DE91" s="61"/>
      <c r="DF91" s="61"/>
      <c r="DG91" s="61"/>
      <c r="DH91" s="61"/>
      <c r="DI91" s="61"/>
      <c r="DJ91" s="61"/>
      <c r="DK91" s="61"/>
      <c r="DL91" s="61"/>
      <c r="DM91" s="62"/>
      <c r="DN91" s="15">
        <v>57594.64</v>
      </c>
      <c r="DO91" s="16">
        <v>-31750.68</v>
      </c>
      <c r="DP91" s="17">
        <v>0</v>
      </c>
      <c r="DQ91" s="61">
        <v>224</v>
      </c>
      <c r="DR91" s="61">
        <v>324</v>
      </c>
      <c r="DS91" s="61"/>
      <c r="DT91" s="61"/>
      <c r="DU91" s="61"/>
      <c r="DV91" s="61"/>
      <c r="DW91" s="61"/>
      <c r="DX91" s="61"/>
      <c r="DY91" s="61"/>
      <c r="DZ91" s="61"/>
      <c r="EA91" s="61"/>
      <c r="EB91" s="14"/>
      <c r="EC91" s="15">
        <f t="shared" si="10"/>
        <v>548</v>
      </c>
      <c r="ED91" s="11">
        <f>CP91</f>
        <v>0</v>
      </c>
      <c r="EE91" s="61"/>
      <c r="EF91" s="61"/>
      <c r="EG91" s="61"/>
      <c r="EH91" s="61"/>
      <c r="EI91" s="61"/>
      <c r="EJ91" s="61"/>
      <c r="EK91" s="61"/>
      <c r="EL91" s="61"/>
      <c r="EM91" s="61"/>
      <c r="EN91" s="61"/>
      <c r="EO91" s="14"/>
      <c r="EP91" s="15">
        <f t="shared" si="11"/>
        <v>0</v>
      </c>
    </row>
    <row r="92" spans="1:146" s="18" customFormat="1" ht="35" customHeight="1">
      <c r="A92" s="4">
        <v>74</v>
      </c>
      <c r="B92" s="59" t="s">
        <v>463</v>
      </c>
      <c r="C92" s="219" t="s">
        <v>344</v>
      </c>
      <c r="D92" s="7">
        <v>1449900486928</v>
      </c>
      <c r="E92" s="7" t="s">
        <v>345</v>
      </c>
      <c r="F92" s="8" t="s">
        <v>34</v>
      </c>
      <c r="G92" s="9">
        <v>45012</v>
      </c>
      <c r="H92" s="10" t="s">
        <v>76</v>
      </c>
      <c r="I92" s="11">
        <v>400</v>
      </c>
      <c r="J92" s="11">
        <v>25</v>
      </c>
      <c r="K92" s="11">
        <v>10000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>
        <v>8</v>
      </c>
      <c r="W92" s="11">
        <v>400</v>
      </c>
      <c r="X92" s="11">
        <v>0</v>
      </c>
      <c r="Y92" s="11">
        <v>0</v>
      </c>
      <c r="Z92" s="11">
        <v>0</v>
      </c>
      <c r="AA92" s="11">
        <v>0</v>
      </c>
      <c r="AB92" s="11">
        <v>8</v>
      </c>
      <c r="AC92" s="11">
        <v>0</v>
      </c>
      <c r="AD92" s="12">
        <v>0</v>
      </c>
      <c r="AE92" s="11">
        <v>400</v>
      </c>
      <c r="AF92" s="11">
        <v>10800</v>
      </c>
      <c r="AG92" s="11">
        <v>1300</v>
      </c>
      <c r="AH92" s="11">
        <v>1890</v>
      </c>
      <c r="AI92" s="11">
        <v>1215</v>
      </c>
      <c r="AJ92" s="11">
        <v>1200</v>
      </c>
      <c r="AK92" s="11">
        <v>1890</v>
      </c>
      <c r="AL92" s="94">
        <v>0</v>
      </c>
      <c r="AM92" s="11">
        <v>940.92</v>
      </c>
      <c r="AN92" s="11">
        <v>0</v>
      </c>
      <c r="AO92" s="11">
        <v>0</v>
      </c>
      <c r="AP92" s="11">
        <v>0</v>
      </c>
      <c r="AQ92" s="11">
        <v>0</v>
      </c>
      <c r="AR92" s="11">
        <v>500</v>
      </c>
      <c r="AS92" s="11">
        <v>0</v>
      </c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>
        <v>16</v>
      </c>
      <c r="BV92" s="53">
        <v>1600</v>
      </c>
      <c r="BW92" s="53"/>
      <c r="BX92" s="53"/>
      <c r="BY92" s="11">
        <v>6</v>
      </c>
      <c r="BZ92" s="53">
        <v>900</v>
      </c>
      <c r="CA92" s="11">
        <v>0</v>
      </c>
      <c r="CB92" s="53">
        <v>0</v>
      </c>
      <c r="CC92" s="53"/>
      <c r="CD92" s="53"/>
      <c r="CE92" s="11">
        <v>0</v>
      </c>
      <c r="CF92" s="53">
        <v>0</v>
      </c>
      <c r="CG92" s="43">
        <v>8125</v>
      </c>
      <c r="CH92" s="11">
        <v>9735.92</v>
      </c>
      <c r="CI92" s="94">
        <v>0</v>
      </c>
      <c r="CJ92" s="11">
        <v>0</v>
      </c>
      <c r="CK92" s="13"/>
      <c r="CL92" s="13">
        <v>28660.92</v>
      </c>
      <c r="CM92" s="11"/>
      <c r="CN92" s="11"/>
      <c r="CO92" s="14">
        <v>324</v>
      </c>
      <c r="CP92" s="14"/>
      <c r="CQ92" s="14"/>
      <c r="CR92" s="94"/>
      <c r="CS92" s="94"/>
      <c r="CT92" s="11">
        <v>0</v>
      </c>
      <c r="CU92" s="11"/>
      <c r="CV92" s="11">
        <v>0</v>
      </c>
      <c r="CW92" s="11"/>
      <c r="CX92" s="11"/>
      <c r="CY92" s="11">
        <v>0</v>
      </c>
      <c r="CZ92" s="95">
        <f t="shared" si="8"/>
        <v>324</v>
      </c>
      <c r="DA92" s="13">
        <f t="shared" si="9"/>
        <v>28336.92</v>
      </c>
      <c r="DB92" s="61">
        <v>28933.72</v>
      </c>
      <c r="DC92" s="61">
        <v>28660.92</v>
      </c>
      <c r="DD92" s="61"/>
      <c r="DE92" s="61"/>
      <c r="DF92" s="61"/>
      <c r="DG92" s="61"/>
      <c r="DH92" s="61"/>
      <c r="DI92" s="61"/>
      <c r="DJ92" s="61"/>
      <c r="DK92" s="61"/>
      <c r="DL92" s="61"/>
      <c r="DM92" s="62"/>
      <c r="DN92" s="15">
        <v>57594.64</v>
      </c>
      <c r="DO92" s="16">
        <v>-31750.68</v>
      </c>
      <c r="DP92" s="17">
        <v>0</v>
      </c>
      <c r="DQ92" s="61">
        <v>224</v>
      </c>
      <c r="DR92" s="61">
        <v>324</v>
      </c>
      <c r="DS92" s="61"/>
      <c r="DT92" s="61"/>
      <c r="DU92" s="61"/>
      <c r="DV92" s="61"/>
      <c r="DW92" s="61"/>
      <c r="DX92" s="61"/>
      <c r="DY92" s="61"/>
      <c r="DZ92" s="61"/>
      <c r="EA92" s="61"/>
      <c r="EB92" s="14"/>
      <c r="EC92" s="15">
        <f t="shared" si="10"/>
        <v>548</v>
      </c>
      <c r="ED92" s="11">
        <f>CP92</f>
        <v>0</v>
      </c>
      <c r="EE92" s="61"/>
      <c r="EF92" s="61"/>
      <c r="EG92" s="61"/>
      <c r="EH92" s="61"/>
      <c r="EI92" s="61"/>
      <c r="EJ92" s="61"/>
      <c r="EK92" s="61"/>
      <c r="EL92" s="61"/>
      <c r="EM92" s="61"/>
      <c r="EN92" s="61"/>
      <c r="EO92" s="14"/>
      <c r="EP92" s="15">
        <f t="shared" si="11"/>
        <v>0</v>
      </c>
    </row>
    <row r="93" spans="1:146" s="18" customFormat="1" ht="35" customHeight="1">
      <c r="A93" s="4">
        <v>75</v>
      </c>
      <c r="B93" s="59" t="s">
        <v>464</v>
      </c>
      <c r="C93" s="219" t="s">
        <v>346</v>
      </c>
      <c r="D93" s="7">
        <v>1449900486929</v>
      </c>
      <c r="E93" s="7" t="s">
        <v>347</v>
      </c>
      <c r="F93" s="8" t="s">
        <v>34</v>
      </c>
      <c r="G93" s="9">
        <v>45013</v>
      </c>
      <c r="H93" s="10" t="s">
        <v>76</v>
      </c>
      <c r="I93" s="11">
        <v>400</v>
      </c>
      <c r="J93" s="11">
        <v>25</v>
      </c>
      <c r="K93" s="11">
        <v>10000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>
        <v>8</v>
      </c>
      <c r="W93" s="11">
        <v>400</v>
      </c>
      <c r="X93" s="11">
        <v>0</v>
      </c>
      <c r="Y93" s="11">
        <v>0</v>
      </c>
      <c r="Z93" s="11">
        <v>0</v>
      </c>
      <c r="AA93" s="11">
        <v>0</v>
      </c>
      <c r="AB93" s="11">
        <v>8</v>
      </c>
      <c r="AC93" s="11">
        <v>0</v>
      </c>
      <c r="AD93" s="12">
        <v>0</v>
      </c>
      <c r="AE93" s="11">
        <v>400</v>
      </c>
      <c r="AF93" s="11">
        <v>10800</v>
      </c>
      <c r="AG93" s="11">
        <v>1300</v>
      </c>
      <c r="AH93" s="11">
        <v>1890</v>
      </c>
      <c r="AI93" s="11">
        <v>1215</v>
      </c>
      <c r="AJ93" s="11">
        <v>1200</v>
      </c>
      <c r="AK93" s="11">
        <v>1890</v>
      </c>
      <c r="AL93" s="94">
        <v>0</v>
      </c>
      <c r="AM93" s="11">
        <v>940.92</v>
      </c>
      <c r="AN93" s="11">
        <v>0</v>
      </c>
      <c r="AO93" s="11">
        <v>0</v>
      </c>
      <c r="AP93" s="11">
        <v>0</v>
      </c>
      <c r="AQ93" s="11">
        <v>0</v>
      </c>
      <c r="AR93" s="11">
        <v>500</v>
      </c>
      <c r="AS93" s="11">
        <v>0</v>
      </c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>
        <v>16</v>
      </c>
      <c r="BV93" s="53">
        <v>1600</v>
      </c>
      <c r="BW93" s="53"/>
      <c r="BX93" s="53"/>
      <c r="BY93" s="11">
        <v>6</v>
      </c>
      <c r="BZ93" s="53">
        <v>900</v>
      </c>
      <c r="CA93" s="11">
        <v>0</v>
      </c>
      <c r="CB93" s="53">
        <v>0</v>
      </c>
      <c r="CC93" s="53"/>
      <c r="CD93" s="53"/>
      <c r="CE93" s="11">
        <v>0</v>
      </c>
      <c r="CF93" s="53">
        <v>0</v>
      </c>
      <c r="CG93" s="43">
        <v>8125</v>
      </c>
      <c r="CH93" s="11">
        <v>9735.92</v>
      </c>
      <c r="CI93" s="94">
        <v>0</v>
      </c>
      <c r="CJ93" s="11">
        <v>0</v>
      </c>
      <c r="CK93" s="13"/>
      <c r="CL93" s="13">
        <v>28660.92</v>
      </c>
      <c r="CM93" s="11"/>
      <c r="CN93" s="11"/>
      <c r="CO93" s="14">
        <v>324</v>
      </c>
      <c r="CP93" s="14"/>
      <c r="CQ93" s="14"/>
      <c r="CR93" s="94"/>
      <c r="CS93" s="94"/>
      <c r="CT93" s="11">
        <v>0</v>
      </c>
      <c r="CU93" s="11"/>
      <c r="CV93" s="11">
        <v>0</v>
      </c>
      <c r="CW93" s="11"/>
      <c r="CX93" s="11"/>
      <c r="CY93" s="11">
        <v>0</v>
      </c>
      <c r="CZ93" s="95">
        <f t="shared" si="8"/>
        <v>324</v>
      </c>
      <c r="DA93" s="13">
        <f t="shared" si="9"/>
        <v>28336.92</v>
      </c>
      <c r="DB93" s="61">
        <v>28933.72</v>
      </c>
      <c r="DC93" s="61">
        <v>28660.92</v>
      </c>
      <c r="DD93" s="61"/>
      <c r="DE93" s="61"/>
      <c r="DF93" s="61"/>
      <c r="DG93" s="61"/>
      <c r="DH93" s="61"/>
      <c r="DI93" s="61"/>
      <c r="DJ93" s="61"/>
      <c r="DK93" s="61"/>
      <c r="DL93" s="61"/>
      <c r="DM93" s="62"/>
      <c r="DN93" s="15">
        <v>57594.64</v>
      </c>
      <c r="DO93" s="16">
        <v>-31750.68</v>
      </c>
      <c r="DP93" s="17">
        <v>0</v>
      </c>
      <c r="DQ93" s="61">
        <v>224</v>
      </c>
      <c r="DR93" s="61">
        <v>324</v>
      </c>
      <c r="DS93" s="61"/>
      <c r="DT93" s="61"/>
      <c r="DU93" s="61"/>
      <c r="DV93" s="61"/>
      <c r="DW93" s="61"/>
      <c r="DX93" s="61"/>
      <c r="DY93" s="61"/>
      <c r="DZ93" s="61"/>
      <c r="EA93" s="61"/>
      <c r="EB93" s="14"/>
      <c r="EC93" s="15">
        <f t="shared" si="10"/>
        <v>548</v>
      </c>
      <c r="ED93" s="11">
        <f>CP93</f>
        <v>0</v>
      </c>
      <c r="EE93" s="61"/>
      <c r="EF93" s="61"/>
      <c r="EG93" s="61"/>
      <c r="EH93" s="61"/>
      <c r="EI93" s="61"/>
      <c r="EJ93" s="61"/>
      <c r="EK93" s="61"/>
      <c r="EL93" s="61"/>
      <c r="EM93" s="61"/>
      <c r="EN93" s="61"/>
      <c r="EO93" s="14"/>
      <c r="EP93" s="15">
        <f t="shared" si="11"/>
        <v>0</v>
      </c>
    </row>
    <row r="94" spans="1:146" s="18" customFormat="1" ht="35" customHeight="1">
      <c r="A94" s="4">
        <v>76</v>
      </c>
      <c r="B94" s="59" t="s">
        <v>465</v>
      </c>
      <c r="C94" s="219" t="s">
        <v>348</v>
      </c>
      <c r="D94" s="7">
        <v>1449900486930</v>
      </c>
      <c r="E94" s="7" t="s">
        <v>349</v>
      </c>
      <c r="F94" s="8" t="s">
        <v>34</v>
      </c>
      <c r="G94" s="9">
        <v>45014</v>
      </c>
      <c r="H94" s="10" t="s">
        <v>76</v>
      </c>
      <c r="I94" s="11">
        <v>400</v>
      </c>
      <c r="J94" s="11">
        <v>25</v>
      </c>
      <c r="K94" s="11">
        <v>10000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>
        <v>8</v>
      </c>
      <c r="W94" s="11">
        <v>400</v>
      </c>
      <c r="X94" s="11">
        <v>0</v>
      </c>
      <c r="Y94" s="11">
        <v>0</v>
      </c>
      <c r="Z94" s="11">
        <v>0</v>
      </c>
      <c r="AA94" s="11">
        <v>0</v>
      </c>
      <c r="AB94" s="11">
        <v>8</v>
      </c>
      <c r="AC94" s="11">
        <v>0</v>
      </c>
      <c r="AD94" s="12">
        <v>0</v>
      </c>
      <c r="AE94" s="11">
        <v>400</v>
      </c>
      <c r="AF94" s="11">
        <v>10800</v>
      </c>
      <c r="AG94" s="11">
        <v>1300</v>
      </c>
      <c r="AH94" s="11">
        <v>1890</v>
      </c>
      <c r="AI94" s="11">
        <v>1215</v>
      </c>
      <c r="AJ94" s="11">
        <v>1200</v>
      </c>
      <c r="AK94" s="11">
        <v>1890</v>
      </c>
      <c r="AL94" s="94">
        <v>0</v>
      </c>
      <c r="AM94" s="11">
        <v>940.92</v>
      </c>
      <c r="AN94" s="11">
        <v>0</v>
      </c>
      <c r="AO94" s="11">
        <v>0</v>
      </c>
      <c r="AP94" s="11">
        <v>0</v>
      </c>
      <c r="AQ94" s="11">
        <v>0</v>
      </c>
      <c r="AR94" s="11">
        <v>500</v>
      </c>
      <c r="AS94" s="11">
        <v>0</v>
      </c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>
        <v>16</v>
      </c>
      <c r="BV94" s="53">
        <v>1600</v>
      </c>
      <c r="BW94" s="53"/>
      <c r="BX94" s="53"/>
      <c r="BY94" s="11">
        <v>6</v>
      </c>
      <c r="BZ94" s="53">
        <v>900</v>
      </c>
      <c r="CA94" s="11">
        <v>0</v>
      </c>
      <c r="CB94" s="53">
        <v>0</v>
      </c>
      <c r="CC94" s="53"/>
      <c r="CD94" s="53"/>
      <c r="CE94" s="11">
        <v>0</v>
      </c>
      <c r="CF94" s="53">
        <v>0</v>
      </c>
      <c r="CG94" s="43">
        <v>8125</v>
      </c>
      <c r="CH94" s="11">
        <v>9735.92</v>
      </c>
      <c r="CI94" s="94">
        <v>0</v>
      </c>
      <c r="CJ94" s="11">
        <v>0</v>
      </c>
      <c r="CK94" s="13"/>
      <c r="CL94" s="13">
        <v>28660.92</v>
      </c>
      <c r="CM94" s="11"/>
      <c r="CN94" s="11"/>
      <c r="CO94" s="14">
        <v>324</v>
      </c>
      <c r="CP94" s="14"/>
      <c r="CQ94" s="14"/>
      <c r="CR94" s="94"/>
      <c r="CS94" s="94"/>
      <c r="CT94" s="11">
        <v>0</v>
      </c>
      <c r="CU94" s="11"/>
      <c r="CV94" s="11">
        <v>0</v>
      </c>
      <c r="CW94" s="11"/>
      <c r="CX94" s="11"/>
      <c r="CY94" s="11">
        <v>0</v>
      </c>
      <c r="CZ94" s="95">
        <f t="shared" si="8"/>
        <v>324</v>
      </c>
      <c r="DA94" s="13">
        <f t="shared" si="9"/>
        <v>28336.92</v>
      </c>
      <c r="DB94" s="61">
        <v>28933.72</v>
      </c>
      <c r="DC94" s="61">
        <v>28660.92</v>
      </c>
      <c r="DD94" s="61"/>
      <c r="DE94" s="61"/>
      <c r="DF94" s="61"/>
      <c r="DG94" s="61"/>
      <c r="DH94" s="61"/>
      <c r="DI94" s="61"/>
      <c r="DJ94" s="61"/>
      <c r="DK94" s="61"/>
      <c r="DL94" s="61"/>
      <c r="DM94" s="62"/>
      <c r="DN94" s="15">
        <v>57594.64</v>
      </c>
      <c r="DO94" s="16">
        <v>-31750.68</v>
      </c>
      <c r="DP94" s="17">
        <v>0</v>
      </c>
      <c r="DQ94" s="61">
        <v>224</v>
      </c>
      <c r="DR94" s="61">
        <v>324</v>
      </c>
      <c r="DS94" s="61"/>
      <c r="DT94" s="61"/>
      <c r="DU94" s="61"/>
      <c r="DV94" s="61"/>
      <c r="DW94" s="61"/>
      <c r="DX94" s="61"/>
      <c r="DY94" s="61"/>
      <c r="DZ94" s="61"/>
      <c r="EA94" s="61"/>
      <c r="EB94" s="14"/>
      <c r="EC94" s="15">
        <f t="shared" si="10"/>
        <v>548</v>
      </c>
      <c r="ED94" s="11">
        <f>CP94</f>
        <v>0</v>
      </c>
      <c r="EE94" s="61"/>
      <c r="EF94" s="61"/>
      <c r="EG94" s="61"/>
      <c r="EH94" s="61"/>
      <c r="EI94" s="61"/>
      <c r="EJ94" s="61"/>
      <c r="EK94" s="61"/>
      <c r="EL94" s="61"/>
      <c r="EM94" s="61"/>
      <c r="EN94" s="61"/>
      <c r="EO94" s="14"/>
      <c r="EP94" s="15">
        <f t="shared" si="11"/>
        <v>0</v>
      </c>
    </row>
    <row r="95" spans="1:146" s="18" customFormat="1" ht="35" customHeight="1">
      <c r="A95" s="4">
        <v>77</v>
      </c>
      <c r="B95" s="59" t="s">
        <v>466</v>
      </c>
      <c r="C95" s="219" t="s">
        <v>350</v>
      </c>
      <c r="D95" s="7">
        <v>1449900486931</v>
      </c>
      <c r="E95" s="7" t="s">
        <v>351</v>
      </c>
      <c r="F95" s="8" t="s">
        <v>34</v>
      </c>
      <c r="G95" s="9">
        <v>45015</v>
      </c>
      <c r="H95" s="10" t="s">
        <v>76</v>
      </c>
      <c r="I95" s="11">
        <v>400</v>
      </c>
      <c r="J95" s="11">
        <v>25</v>
      </c>
      <c r="K95" s="11">
        <v>10000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>
        <v>8</v>
      </c>
      <c r="W95" s="11">
        <v>400</v>
      </c>
      <c r="X95" s="11">
        <v>0</v>
      </c>
      <c r="Y95" s="11">
        <v>0</v>
      </c>
      <c r="Z95" s="11">
        <v>0</v>
      </c>
      <c r="AA95" s="11">
        <v>0</v>
      </c>
      <c r="AB95" s="11">
        <v>8</v>
      </c>
      <c r="AC95" s="11">
        <v>0</v>
      </c>
      <c r="AD95" s="12">
        <v>0</v>
      </c>
      <c r="AE95" s="11">
        <v>400</v>
      </c>
      <c r="AF95" s="11">
        <v>10800</v>
      </c>
      <c r="AG95" s="11">
        <v>1300</v>
      </c>
      <c r="AH95" s="11">
        <v>1890</v>
      </c>
      <c r="AI95" s="11">
        <v>1215</v>
      </c>
      <c r="AJ95" s="11">
        <v>1200</v>
      </c>
      <c r="AK95" s="11">
        <v>1890</v>
      </c>
      <c r="AL95" s="94">
        <v>0</v>
      </c>
      <c r="AM95" s="11">
        <v>940.92</v>
      </c>
      <c r="AN95" s="11">
        <v>0</v>
      </c>
      <c r="AO95" s="11">
        <v>0</v>
      </c>
      <c r="AP95" s="11">
        <v>0</v>
      </c>
      <c r="AQ95" s="11">
        <v>0</v>
      </c>
      <c r="AR95" s="11">
        <v>500</v>
      </c>
      <c r="AS95" s="11">
        <v>0</v>
      </c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>
        <v>16</v>
      </c>
      <c r="BV95" s="53">
        <v>1600</v>
      </c>
      <c r="BW95" s="53"/>
      <c r="BX95" s="53"/>
      <c r="BY95" s="11">
        <v>6</v>
      </c>
      <c r="BZ95" s="53">
        <v>900</v>
      </c>
      <c r="CA95" s="11">
        <v>0</v>
      </c>
      <c r="CB95" s="53">
        <v>0</v>
      </c>
      <c r="CC95" s="53"/>
      <c r="CD95" s="53"/>
      <c r="CE95" s="11">
        <v>0</v>
      </c>
      <c r="CF95" s="53">
        <v>0</v>
      </c>
      <c r="CG95" s="43">
        <v>8125</v>
      </c>
      <c r="CH95" s="11">
        <v>9735.92</v>
      </c>
      <c r="CI95" s="94">
        <v>0</v>
      </c>
      <c r="CJ95" s="11">
        <v>0</v>
      </c>
      <c r="CK95" s="13"/>
      <c r="CL95" s="13">
        <v>28660.92</v>
      </c>
      <c r="CM95" s="11"/>
      <c r="CN95" s="11"/>
      <c r="CO95" s="14">
        <v>324</v>
      </c>
      <c r="CP95" s="14"/>
      <c r="CQ95" s="14"/>
      <c r="CR95" s="94"/>
      <c r="CS95" s="94"/>
      <c r="CT95" s="11">
        <v>0</v>
      </c>
      <c r="CU95" s="11"/>
      <c r="CV95" s="11">
        <v>0</v>
      </c>
      <c r="CW95" s="11"/>
      <c r="CX95" s="11"/>
      <c r="CY95" s="11">
        <v>0</v>
      </c>
      <c r="CZ95" s="95">
        <f t="shared" si="8"/>
        <v>324</v>
      </c>
      <c r="DA95" s="13">
        <f t="shared" si="9"/>
        <v>28336.92</v>
      </c>
      <c r="DB95" s="61">
        <v>28933.72</v>
      </c>
      <c r="DC95" s="61">
        <v>28660.92</v>
      </c>
      <c r="DD95" s="61"/>
      <c r="DE95" s="61"/>
      <c r="DF95" s="61"/>
      <c r="DG95" s="61"/>
      <c r="DH95" s="61"/>
      <c r="DI95" s="61"/>
      <c r="DJ95" s="61"/>
      <c r="DK95" s="61"/>
      <c r="DL95" s="61"/>
      <c r="DM95" s="62"/>
      <c r="DN95" s="15">
        <v>57594.64</v>
      </c>
      <c r="DO95" s="16">
        <v>-31750.68</v>
      </c>
      <c r="DP95" s="17">
        <v>0</v>
      </c>
      <c r="DQ95" s="61">
        <v>224</v>
      </c>
      <c r="DR95" s="61">
        <v>324</v>
      </c>
      <c r="DS95" s="61"/>
      <c r="DT95" s="61"/>
      <c r="DU95" s="61"/>
      <c r="DV95" s="61"/>
      <c r="DW95" s="61"/>
      <c r="DX95" s="61"/>
      <c r="DY95" s="61"/>
      <c r="DZ95" s="61"/>
      <c r="EA95" s="61"/>
      <c r="EB95" s="14"/>
      <c r="EC95" s="15">
        <f t="shared" si="10"/>
        <v>548</v>
      </c>
      <c r="ED95" s="11">
        <f>CP95</f>
        <v>0</v>
      </c>
      <c r="EE95" s="61"/>
      <c r="EF95" s="61"/>
      <c r="EG95" s="61"/>
      <c r="EH95" s="61"/>
      <c r="EI95" s="61"/>
      <c r="EJ95" s="61"/>
      <c r="EK95" s="61"/>
      <c r="EL95" s="61"/>
      <c r="EM95" s="61"/>
      <c r="EN95" s="61"/>
      <c r="EO95" s="14"/>
      <c r="EP95" s="15">
        <f t="shared" si="11"/>
        <v>0</v>
      </c>
    </row>
    <row r="96" spans="1:146" s="18" customFormat="1" ht="35" customHeight="1">
      <c r="A96" s="4">
        <v>78</v>
      </c>
      <c r="B96" s="59" t="s">
        <v>467</v>
      </c>
      <c r="C96" s="219" t="s">
        <v>352</v>
      </c>
      <c r="D96" s="7">
        <v>1449900486932</v>
      </c>
      <c r="E96" s="7" t="s">
        <v>353</v>
      </c>
      <c r="F96" s="8" t="s">
        <v>34</v>
      </c>
      <c r="G96" s="9">
        <v>45016</v>
      </c>
      <c r="H96" s="10" t="s">
        <v>76</v>
      </c>
      <c r="I96" s="11">
        <v>400</v>
      </c>
      <c r="J96" s="11">
        <v>25</v>
      </c>
      <c r="K96" s="11">
        <v>10000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>
        <v>8</v>
      </c>
      <c r="W96" s="11">
        <v>400</v>
      </c>
      <c r="X96" s="11">
        <v>0</v>
      </c>
      <c r="Y96" s="11">
        <v>0</v>
      </c>
      <c r="Z96" s="11">
        <v>0</v>
      </c>
      <c r="AA96" s="11">
        <v>0</v>
      </c>
      <c r="AB96" s="11">
        <v>8</v>
      </c>
      <c r="AC96" s="11">
        <v>0</v>
      </c>
      <c r="AD96" s="12">
        <v>0</v>
      </c>
      <c r="AE96" s="11">
        <v>400</v>
      </c>
      <c r="AF96" s="11">
        <v>10800</v>
      </c>
      <c r="AG96" s="11">
        <v>1300</v>
      </c>
      <c r="AH96" s="11">
        <v>1890</v>
      </c>
      <c r="AI96" s="11">
        <v>1215</v>
      </c>
      <c r="AJ96" s="11">
        <v>1200</v>
      </c>
      <c r="AK96" s="11">
        <v>1890</v>
      </c>
      <c r="AL96" s="94">
        <v>0</v>
      </c>
      <c r="AM96" s="11">
        <v>940.92</v>
      </c>
      <c r="AN96" s="11">
        <v>0</v>
      </c>
      <c r="AO96" s="11">
        <v>0</v>
      </c>
      <c r="AP96" s="11">
        <v>0</v>
      </c>
      <c r="AQ96" s="11">
        <v>0</v>
      </c>
      <c r="AR96" s="11">
        <v>500</v>
      </c>
      <c r="AS96" s="11">
        <v>0</v>
      </c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>
        <v>16</v>
      </c>
      <c r="BV96" s="53">
        <v>1600</v>
      </c>
      <c r="BW96" s="53"/>
      <c r="BX96" s="53"/>
      <c r="BY96" s="11">
        <v>6</v>
      </c>
      <c r="BZ96" s="53">
        <v>900</v>
      </c>
      <c r="CA96" s="11">
        <v>0</v>
      </c>
      <c r="CB96" s="53">
        <v>0</v>
      </c>
      <c r="CC96" s="53"/>
      <c r="CD96" s="53"/>
      <c r="CE96" s="11">
        <v>0</v>
      </c>
      <c r="CF96" s="53">
        <v>0</v>
      </c>
      <c r="CG96" s="43">
        <v>8125</v>
      </c>
      <c r="CH96" s="11">
        <v>9735.92</v>
      </c>
      <c r="CI96" s="94">
        <v>0</v>
      </c>
      <c r="CJ96" s="11">
        <v>0</v>
      </c>
      <c r="CK96" s="13"/>
      <c r="CL96" s="13">
        <v>28660.92</v>
      </c>
      <c r="CM96" s="11"/>
      <c r="CN96" s="11"/>
      <c r="CO96" s="14">
        <v>324</v>
      </c>
      <c r="CP96" s="14"/>
      <c r="CQ96" s="14"/>
      <c r="CR96" s="94"/>
      <c r="CS96" s="94"/>
      <c r="CT96" s="11">
        <v>0</v>
      </c>
      <c r="CU96" s="11"/>
      <c r="CV96" s="11">
        <v>0</v>
      </c>
      <c r="CW96" s="11"/>
      <c r="CX96" s="11"/>
      <c r="CY96" s="11">
        <v>0</v>
      </c>
      <c r="CZ96" s="95">
        <f t="shared" si="8"/>
        <v>324</v>
      </c>
      <c r="DA96" s="13">
        <f t="shared" si="9"/>
        <v>28336.92</v>
      </c>
      <c r="DB96" s="61">
        <v>28933.72</v>
      </c>
      <c r="DC96" s="61">
        <v>28660.92</v>
      </c>
      <c r="DD96" s="61"/>
      <c r="DE96" s="61"/>
      <c r="DF96" s="61"/>
      <c r="DG96" s="61"/>
      <c r="DH96" s="61"/>
      <c r="DI96" s="61"/>
      <c r="DJ96" s="61"/>
      <c r="DK96" s="61"/>
      <c r="DL96" s="61"/>
      <c r="DM96" s="62"/>
      <c r="DN96" s="15">
        <v>57594.64</v>
      </c>
      <c r="DO96" s="16">
        <v>-31750.68</v>
      </c>
      <c r="DP96" s="17">
        <v>0</v>
      </c>
      <c r="DQ96" s="61">
        <v>224</v>
      </c>
      <c r="DR96" s="61">
        <v>324</v>
      </c>
      <c r="DS96" s="61"/>
      <c r="DT96" s="61"/>
      <c r="DU96" s="61"/>
      <c r="DV96" s="61"/>
      <c r="DW96" s="61"/>
      <c r="DX96" s="61"/>
      <c r="DY96" s="61"/>
      <c r="DZ96" s="61"/>
      <c r="EA96" s="61"/>
      <c r="EB96" s="14"/>
      <c r="EC96" s="15">
        <f t="shared" si="10"/>
        <v>548</v>
      </c>
      <c r="ED96" s="11">
        <f>CP96</f>
        <v>0</v>
      </c>
      <c r="EE96" s="61"/>
      <c r="EF96" s="61"/>
      <c r="EG96" s="61"/>
      <c r="EH96" s="61"/>
      <c r="EI96" s="61"/>
      <c r="EJ96" s="61"/>
      <c r="EK96" s="61"/>
      <c r="EL96" s="61"/>
      <c r="EM96" s="61"/>
      <c r="EN96" s="61"/>
      <c r="EO96" s="14"/>
      <c r="EP96" s="15">
        <f t="shared" si="11"/>
        <v>0</v>
      </c>
    </row>
    <row r="97" spans="1:146" s="18" customFormat="1" ht="35" customHeight="1">
      <c r="A97" s="4">
        <v>79</v>
      </c>
      <c r="B97" s="59" t="s">
        <v>468</v>
      </c>
      <c r="C97" s="219" t="s">
        <v>354</v>
      </c>
      <c r="D97" s="7">
        <v>1449900486933</v>
      </c>
      <c r="E97" s="7" t="s">
        <v>355</v>
      </c>
      <c r="F97" s="8" t="s">
        <v>34</v>
      </c>
      <c r="G97" s="9">
        <v>45017</v>
      </c>
      <c r="H97" s="10" t="s">
        <v>76</v>
      </c>
      <c r="I97" s="11">
        <v>400</v>
      </c>
      <c r="J97" s="11">
        <v>25</v>
      </c>
      <c r="K97" s="11">
        <v>10000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>
        <v>8</v>
      </c>
      <c r="W97" s="11">
        <v>400</v>
      </c>
      <c r="X97" s="11">
        <v>0</v>
      </c>
      <c r="Y97" s="11">
        <v>0</v>
      </c>
      <c r="Z97" s="11">
        <v>0</v>
      </c>
      <c r="AA97" s="11">
        <v>0</v>
      </c>
      <c r="AB97" s="11">
        <v>8</v>
      </c>
      <c r="AC97" s="11">
        <v>0</v>
      </c>
      <c r="AD97" s="12">
        <v>0</v>
      </c>
      <c r="AE97" s="11">
        <v>400</v>
      </c>
      <c r="AF97" s="11">
        <v>10800</v>
      </c>
      <c r="AG97" s="11">
        <v>1300</v>
      </c>
      <c r="AH97" s="11">
        <v>1890</v>
      </c>
      <c r="AI97" s="11">
        <v>1215</v>
      </c>
      <c r="AJ97" s="11">
        <v>1200</v>
      </c>
      <c r="AK97" s="11">
        <v>1890</v>
      </c>
      <c r="AL97" s="94">
        <v>0</v>
      </c>
      <c r="AM97" s="11">
        <v>940.92</v>
      </c>
      <c r="AN97" s="11">
        <v>0</v>
      </c>
      <c r="AO97" s="11">
        <v>0</v>
      </c>
      <c r="AP97" s="11">
        <v>0</v>
      </c>
      <c r="AQ97" s="11">
        <v>0</v>
      </c>
      <c r="AR97" s="11">
        <v>500</v>
      </c>
      <c r="AS97" s="11">
        <v>0</v>
      </c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>
        <v>16</v>
      </c>
      <c r="BV97" s="53">
        <v>1600</v>
      </c>
      <c r="BW97" s="53"/>
      <c r="BX97" s="53"/>
      <c r="BY97" s="11">
        <v>6</v>
      </c>
      <c r="BZ97" s="53">
        <v>900</v>
      </c>
      <c r="CA97" s="11">
        <v>0</v>
      </c>
      <c r="CB97" s="53">
        <v>0</v>
      </c>
      <c r="CC97" s="53"/>
      <c r="CD97" s="53"/>
      <c r="CE97" s="11">
        <v>0</v>
      </c>
      <c r="CF97" s="53">
        <v>0</v>
      </c>
      <c r="CG97" s="43">
        <v>8125</v>
      </c>
      <c r="CH97" s="11">
        <v>9735.92</v>
      </c>
      <c r="CI97" s="94">
        <v>0</v>
      </c>
      <c r="CJ97" s="11">
        <v>0</v>
      </c>
      <c r="CK97" s="13"/>
      <c r="CL97" s="13">
        <v>28660.92</v>
      </c>
      <c r="CM97" s="11"/>
      <c r="CN97" s="11"/>
      <c r="CO97" s="14">
        <v>324</v>
      </c>
      <c r="CP97" s="14"/>
      <c r="CQ97" s="14"/>
      <c r="CR97" s="94"/>
      <c r="CS97" s="94"/>
      <c r="CT97" s="11">
        <v>0</v>
      </c>
      <c r="CU97" s="11"/>
      <c r="CV97" s="11">
        <v>0</v>
      </c>
      <c r="CW97" s="11"/>
      <c r="CX97" s="11"/>
      <c r="CY97" s="11">
        <v>0</v>
      </c>
      <c r="CZ97" s="95">
        <f t="shared" si="8"/>
        <v>324</v>
      </c>
      <c r="DA97" s="13">
        <f t="shared" si="9"/>
        <v>28336.92</v>
      </c>
      <c r="DB97" s="61">
        <v>28933.72</v>
      </c>
      <c r="DC97" s="61">
        <v>28660.92</v>
      </c>
      <c r="DD97" s="61"/>
      <c r="DE97" s="61"/>
      <c r="DF97" s="61"/>
      <c r="DG97" s="61"/>
      <c r="DH97" s="61"/>
      <c r="DI97" s="61"/>
      <c r="DJ97" s="61"/>
      <c r="DK97" s="61"/>
      <c r="DL97" s="61"/>
      <c r="DM97" s="62"/>
      <c r="DN97" s="15">
        <v>57594.64</v>
      </c>
      <c r="DO97" s="16">
        <v>-31750.68</v>
      </c>
      <c r="DP97" s="17">
        <v>0</v>
      </c>
      <c r="DQ97" s="61">
        <v>224</v>
      </c>
      <c r="DR97" s="61">
        <v>324</v>
      </c>
      <c r="DS97" s="61"/>
      <c r="DT97" s="61"/>
      <c r="DU97" s="61"/>
      <c r="DV97" s="61"/>
      <c r="DW97" s="61"/>
      <c r="DX97" s="61"/>
      <c r="DY97" s="61"/>
      <c r="DZ97" s="61"/>
      <c r="EA97" s="61"/>
      <c r="EB97" s="14"/>
      <c r="EC97" s="15">
        <f t="shared" si="10"/>
        <v>548</v>
      </c>
      <c r="ED97" s="11">
        <f>CP97</f>
        <v>0</v>
      </c>
      <c r="EE97" s="61"/>
      <c r="EF97" s="61"/>
      <c r="EG97" s="61"/>
      <c r="EH97" s="61"/>
      <c r="EI97" s="61"/>
      <c r="EJ97" s="61"/>
      <c r="EK97" s="61"/>
      <c r="EL97" s="61"/>
      <c r="EM97" s="61"/>
      <c r="EN97" s="61"/>
      <c r="EO97" s="14"/>
      <c r="EP97" s="15">
        <f t="shared" si="11"/>
        <v>0</v>
      </c>
    </row>
    <row r="98" spans="1:146" s="18" customFormat="1" ht="35" customHeight="1">
      <c r="A98" s="4">
        <v>80</v>
      </c>
      <c r="B98" s="59" t="s">
        <v>469</v>
      </c>
      <c r="C98" s="219" t="s">
        <v>356</v>
      </c>
      <c r="D98" s="7">
        <v>1449900486934</v>
      </c>
      <c r="E98" s="7" t="s">
        <v>357</v>
      </c>
      <c r="F98" s="8" t="s">
        <v>34</v>
      </c>
      <c r="G98" s="9">
        <v>45018</v>
      </c>
      <c r="H98" s="10" t="s">
        <v>76</v>
      </c>
      <c r="I98" s="11">
        <v>400</v>
      </c>
      <c r="J98" s="11">
        <v>25</v>
      </c>
      <c r="K98" s="11">
        <v>10000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>
        <v>8</v>
      </c>
      <c r="W98" s="11">
        <v>400</v>
      </c>
      <c r="X98" s="11">
        <v>0</v>
      </c>
      <c r="Y98" s="11">
        <v>0</v>
      </c>
      <c r="Z98" s="11">
        <v>0</v>
      </c>
      <c r="AA98" s="11">
        <v>0</v>
      </c>
      <c r="AB98" s="11">
        <v>8</v>
      </c>
      <c r="AC98" s="11">
        <v>0</v>
      </c>
      <c r="AD98" s="12">
        <v>0</v>
      </c>
      <c r="AE98" s="11">
        <v>400</v>
      </c>
      <c r="AF98" s="11">
        <v>10800</v>
      </c>
      <c r="AG98" s="11">
        <v>1300</v>
      </c>
      <c r="AH98" s="11">
        <v>1890</v>
      </c>
      <c r="AI98" s="11">
        <v>1215</v>
      </c>
      <c r="AJ98" s="11">
        <v>1200</v>
      </c>
      <c r="AK98" s="11">
        <v>1890</v>
      </c>
      <c r="AL98" s="94">
        <v>0</v>
      </c>
      <c r="AM98" s="11">
        <v>940.92</v>
      </c>
      <c r="AN98" s="11">
        <v>0</v>
      </c>
      <c r="AO98" s="11">
        <v>0</v>
      </c>
      <c r="AP98" s="11">
        <v>0</v>
      </c>
      <c r="AQ98" s="11">
        <v>0</v>
      </c>
      <c r="AR98" s="11">
        <v>500</v>
      </c>
      <c r="AS98" s="11">
        <v>0</v>
      </c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>
        <v>16</v>
      </c>
      <c r="BV98" s="53">
        <v>1600</v>
      </c>
      <c r="BW98" s="53"/>
      <c r="BX98" s="53"/>
      <c r="BY98" s="11">
        <v>6</v>
      </c>
      <c r="BZ98" s="53">
        <v>900</v>
      </c>
      <c r="CA98" s="11">
        <v>0</v>
      </c>
      <c r="CB98" s="53">
        <v>0</v>
      </c>
      <c r="CC98" s="53"/>
      <c r="CD98" s="53"/>
      <c r="CE98" s="11">
        <v>0</v>
      </c>
      <c r="CF98" s="53">
        <v>0</v>
      </c>
      <c r="CG98" s="43">
        <v>8125</v>
      </c>
      <c r="CH98" s="11">
        <v>9735.92</v>
      </c>
      <c r="CI98" s="94">
        <v>0</v>
      </c>
      <c r="CJ98" s="11">
        <v>0</v>
      </c>
      <c r="CK98" s="13"/>
      <c r="CL98" s="13">
        <v>28660.92</v>
      </c>
      <c r="CM98" s="11"/>
      <c r="CN98" s="11"/>
      <c r="CO98" s="14">
        <v>324</v>
      </c>
      <c r="CP98" s="14"/>
      <c r="CQ98" s="14"/>
      <c r="CR98" s="94"/>
      <c r="CS98" s="94"/>
      <c r="CT98" s="11">
        <v>0</v>
      </c>
      <c r="CU98" s="11"/>
      <c r="CV98" s="11">
        <v>0</v>
      </c>
      <c r="CW98" s="11"/>
      <c r="CX98" s="11"/>
      <c r="CY98" s="11">
        <v>0</v>
      </c>
      <c r="CZ98" s="95">
        <f t="shared" si="8"/>
        <v>324</v>
      </c>
      <c r="DA98" s="13">
        <f t="shared" si="9"/>
        <v>28336.92</v>
      </c>
      <c r="DB98" s="61">
        <v>28933.72</v>
      </c>
      <c r="DC98" s="61">
        <v>28660.92</v>
      </c>
      <c r="DD98" s="61"/>
      <c r="DE98" s="61"/>
      <c r="DF98" s="61"/>
      <c r="DG98" s="61"/>
      <c r="DH98" s="61"/>
      <c r="DI98" s="61"/>
      <c r="DJ98" s="61"/>
      <c r="DK98" s="61"/>
      <c r="DL98" s="61"/>
      <c r="DM98" s="62"/>
      <c r="DN98" s="15">
        <v>57594.64</v>
      </c>
      <c r="DO98" s="16">
        <v>-31750.68</v>
      </c>
      <c r="DP98" s="17">
        <v>0</v>
      </c>
      <c r="DQ98" s="61">
        <v>224</v>
      </c>
      <c r="DR98" s="61">
        <v>324</v>
      </c>
      <c r="DS98" s="61"/>
      <c r="DT98" s="61"/>
      <c r="DU98" s="61"/>
      <c r="DV98" s="61"/>
      <c r="DW98" s="61"/>
      <c r="DX98" s="61"/>
      <c r="DY98" s="61"/>
      <c r="DZ98" s="61"/>
      <c r="EA98" s="61"/>
      <c r="EB98" s="14"/>
      <c r="EC98" s="15">
        <f t="shared" si="10"/>
        <v>548</v>
      </c>
      <c r="ED98" s="11">
        <f>CP98</f>
        <v>0</v>
      </c>
      <c r="EE98" s="61"/>
      <c r="EF98" s="61"/>
      <c r="EG98" s="61"/>
      <c r="EH98" s="61"/>
      <c r="EI98" s="61"/>
      <c r="EJ98" s="61"/>
      <c r="EK98" s="61"/>
      <c r="EL98" s="61"/>
      <c r="EM98" s="61"/>
      <c r="EN98" s="61"/>
      <c r="EO98" s="14"/>
      <c r="EP98" s="15">
        <f t="shared" si="11"/>
        <v>0</v>
      </c>
    </row>
    <row r="99" spans="1:146" s="18" customFormat="1" ht="35" customHeight="1">
      <c r="A99" s="4">
        <v>81</v>
      </c>
      <c r="B99" s="59" t="s">
        <v>470</v>
      </c>
      <c r="C99" s="219" t="s">
        <v>358</v>
      </c>
      <c r="D99" s="7">
        <v>1449900486935</v>
      </c>
      <c r="E99" s="7" t="s">
        <v>359</v>
      </c>
      <c r="F99" s="8" t="s">
        <v>34</v>
      </c>
      <c r="G99" s="9">
        <v>45019</v>
      </c>
      <c r="H99" s="10" t="s">
        <v>76</v>
      </c>
      <c r="I99" s="11">
        <v>400</v>
      </c>
      <c r="J99" s="11">
        <v>25</v>
      </c>
      <c r="K99" s="11">
        <v>10000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>
        <v>8</v>
      </c>
      <c r="W99" s="11">
        <v>400</v>
      </c>
      <c r="X99" s="11">
        <v>0</v>
      </c>
      <c r="Y99" s="11">
        <v>0</v>
      </c>
      <c r="Z99" s="11">
        <v>0</v>
      </c>
      <c r="AA99" s="11">
        <v>0</v>
      </c>
      <c r="AB99" s="11">
        <v>8</v>
      </c>
      <c r="AC99" s="11">
        <v>0</v>
      </c>
      <c r="AD99" s="12">
        <v>0</v>
      </c>
      <c r="AE99" s="11">
        <v>400</v>
      </c>
      <c r="AF99" s="11">
        <v>10800</v>
      </c>
      <c r="AG99" s="11">
        <v>1300</v>
      </c>
      <c r="AH99" s="11">
        <v>1890</v>
      </c>
      <c r="AI99" s="11">
        <v>1215</v>
      </c>
      <c r="AJ99" s="11">
        <v>1200</v>
      </c>
      <c r="AK99" s="11">
        <v>1890</v>
      </c>
      <c r="AL99" s="94">
        <v>0</v>
      </c>
      <c r="AM99" s="11">
        <v>940.92</v>
      </c>
      <c r="AN99" s="11">
        <v>0</v>
      </c>
      <c r="AO99" s="11">
        <v>0</v>
      </c>
      <c r="AP99" s="11">
        <v>0</v>
      </c>
      <c r="AQ99" s="11">
        <v>0</v>
      </c>
      <c r="AR99" s="11">
        <v>500</v>
      </c>
      <c r="AS99" s="11">
        <v>0</v>
      </c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>
        <v>16</v>
      </c>
      <c r="BV99" s="53">
        <v>1600</v>
      </c>
      <c r="BW99" s="53"/>
      <c r="BX99" s="53"/>
      <c r="BY99" s="11">
        <v>6</v>
      </c>
      <c r="BZ99" s="53">
        <v>900</v>
      </c>
      <c r="CA99" s="11">
        <v>0</v>
      </c>
      <c r="CB99" s="53">
        <v>0</v>
      </c>
      <c r="CC99" s="53"/>
      <c r="CD99" s="53"/>
      <c r="CE99" s="11">
        <v>0</v>
      </c>
      <c r="CF99" s="53">
        <v>0</v>
      </c>
      <c r="CG99" s="43">
        <v>8125</v>
      </c>
      <c r="CH99" s="11">
        <v>9735.92</v>
      </c>
      <c r="CI99" s="94">
        <v>0</v>
      </c>
      <c r="CJ99" s="11">
        <v>0</v>
      </c>
      <c r="CK99" s="13"/>
      <c r="CL99" s="13">
        <v>28660.92</v>
      </c>
      <c r="CM99" s="11"/>
      <c r="CN99" s="11"/>
      <c r="CO99" s="14">
        <v>324</v>
      </c>
      <c r="CP99" s="14"/>
      <c r="CQ99" s="14"/>
      <c r="CR99" s="94"/>
      <c r="CS99" s="94"/>
      <c r="CT99" s="11">
        <v>0</v>
      </c>
      <c r="CU99" s="11"/>
      <c r="CV99" s="11">
        <v>0</v>
      </c>
      <c r="CW99" s="11"/>
      <c r="CX99" s="11"/>
      <c r="CY99" s="11">
        <v>0</v>
      </c>
      <c r="CZ99" s="95">
        <f t="shared" si="8"/>
        <v>324</v>
      </c>
      <c r="DA99" s="13">
        <f t="shared" si="9"/>
        <v>28336.92</v>
      </c>
      <c r="DB99" s="61">
        <v>28933.72</v>
      </c>
      <c r="DC99" s="61">
        <v>28660.92</v>
      </c>
      <c r="DD99" s="61"/>
      <c r="DE99" s="61"/>
      <c r="DF99" s="61"/>
      <c r="DG99" s="61"/>
      <c r="DH99" s="61"/>
      <c r="DI99" s="61"/>
      <c r="DJ99" s="61"/>
      <c r="DK99" s="61"/>
      <c r="DL99" s="61"/>
      <c r="DM99" s="62"/>
      <c r="DN99" s="15">
        <v>57594.64</v>
      </c>
      <c r="DO99" s="16">
        <v>-31750.68</v>
      </c>
      <c r="DP99" s="17">
        <v>0</v>
      </c>
      <c r="DQ99" s="61">
        <v>224</v>
      </c>
      <c r="DR99" s="61">
        <v>324</v>
      </c>
      <c r="DS99" s="61"/>
      <c r="DT99" s="61"/>
      <c r="DU99" s="61"/>
      <c r="DV99" s="61"/>
      <c r="DW99" s="61"/>
      <c r="DX99" s="61"/>
      <c r="DY99" s="61"/>
      <c r="DZ99" s="61"/>
      <c r="EA99" s="61"/>
      <c r="EB99" s="14"/>
      <c r="EC99" s="15">
        <f t="shared" si="10"/>
        <v>548</v>
      </c>
      <c r="ED99" s="11">
        <f>CP99</f>
        <v>0</v>
      </c>
      <c r="EE99" s="61"/>
      <c r="EF99" s="61"/>
      <c r="EG99" s="61"/>
      <c r="EH99" s="61"/>
      <c r="EI99" s="61"/>
      <c r="EJ99" s="61"/>
      <c r="EK99" s="61"/>
      <c r="EL99" s="61"/>
      <c r="EM99" s="61"/>
      <c r="EN99" s="61"/>
      <c r="EO99" s="14"/>
      <c r="EP99" s="15">
        <f t="shared" si="11"/>
        <v>0</v>
      </c>
    </row>
    <row r="100" spans="1:146" s="18" customFormat="1" ht="35" customHeight="1">
      <c r="A100" s="4">
        <v>82</v>
      </c>
      <c r="B100" s="59" t="s">
        <v>471</v>
      </c>
      <c r="C100" s="219" t="s">
        <v>360</v>
      </c>
      <c r="D100" s="7">
        <v>1449900486936</v>
      </c>
      <c r="E100" s="7" t="s">
        <v>361</v>
      </c>
      <c r="F100" s="8" t="s">
        <v>34</v>
      </c>
      <c r="G100" s="9">
        <v>45020</v>
      </c>
      <c r="H100" s="10" t="s">
        <v>76</v>
      </c>
      <c r="I100" s="11">
        <v>400</v>
      </c>
      <c r="J100" s="11">
        <v>25</v>
      </c>
      <c r="K100" s="11">
        <v>10000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>
        <v>8</v>
      </c>
      <c r="W100" s="11">
        <v>400</v>
      </c>
      <c r="X100" s="11">
        <v>0</v>
      </c>
      <c r="Y100" s="11">
        <v>0</v>
      </c>
      <c r="Z100" s="11">
        <v>0</v>
      </c>
      <c r="AA100" s="11">
        <v>0</v>
      </c>
      <c r="AB100" s="11">
        <v>8</v>
      </c>
      <c r="AC100" s="11">
        <v>0</v>
      </c>
      <c r="AD100" s="12">
        <v>0</v>
      </c>
      <c r="AE100" s="11">
        <v>400</v>
      </c>
      <c r="AF100" s="11">
        <v>10800</v>
      </c>
      <c r="AG100" s="11">
        <v>1300</v>
      </c>
      <c r="AH100" s="11">
        <v>1890</v>
      </c>
      <c r="AI100" s="11">
        <v>1215</v>
      </c>
      <c r="AJ100" s="11">
        <v>1200</v>
      </c>
      <c r="AK100" s="11">
        <v>1890</v>
      </c>
      <c r="AL100" s="94">
        <v>0</v>
      </c>
      <c r="AM100" s="11">
        <v>940.92</v>
      </c>
      <c r="AN100" s="11">
        <v>0</v>
      </c>
      <c r="AO100" s="11">
        <v>0</v>
      </c>
      <c r="AP100" s="11">
        <v>0</v>
      </c>
      <c r="AQ100" s="11">
        <v>0</v>
      </c>
      <c r="AR100" s="11">
        <v>500</v>
      </c>
      <c r="AS100" s="11">
        <v>0</v>
      </c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>
        <v>16</v>
      </c>
      <c r="BV100" s="53">
        <v>1600</v>
      </c>
      <c r="BW100" s="53"/>
      <c r="BX100" s="53"/>
      <c r="BY100" s="11">
        <v>6</v>
      </c>
      <c r="BZ100" s="53">
        <v>900</v>
      </c>
      <c r="CA100" s="11">
        <v>0</v>
      </c>
      <c r="CB100" s="53">
        <v>0</v>
      </c>
      <c r="CC100" s="53"/>
      <c r="CD100" s="53"/>
      <c r="CE100" s="11">
        <v>0</v>
      </c>
      <c r="CF100" s="53">
        <v>0</v>
      </c>
      <c r="CG100" s="43">
        <v>8125</v>
      </c>
      <c r="CH100" s="11">
        <v>9735.92</v>
      </c>
      <c r="CI100" s="94">
        <v>0</v>
      </c>
      <c r="CJ100" s="11">
        <v>0</v>
      </c>
      <c r="CK100" s="13"/>
      <c r="CL100" s="13">
        <v>28660.92</v>
      </c>
      <c r="CM100" s="11"/>
      <c r="CN100" s="11"/>
      <c r="CO100" s="14">
        <v>324</v>
      </c>
      <c r="CP100" s="14"/>
      <c r="CQ100" s="14"/>
      <c r="CR100" s="94"/>
      <c r="CS100" s="94"/>
      <c r="CT100" s="11">
        <v>0</v>
      </c>
      <c r="CU100" s="11"/>
      <c r="CV100" s="11">
        <v>0</v>
      </c>
      <c r="CW100" s="11"/>
      <c r="CX100" s="11"/>
      <c r="CY100" s="11">
        <v>0</v>
      </c>
      <c r="CZ100" s="95">
        <f t="shared" si="8"/>
        <v>324</v>
      </c>
      <c r="DA100" s="13">
        <f t="shared" si="9"/>
        <v>28336.92</v>
      </c>
      <c r="DB100" s="61">
        <v>28933.72</v>
      </c>
      <c r="DC100" s="61">
        <v>28660.92</v>
      </c>
      <c r="DD100" s="61"/>
      <c r="DE100" s="61"/>
      <c r="DF100" s="61"/>
      <c r="DG100" s="61"/>
      <c r="DH100" s="61"/>
      <c r="DI100" s="61"/>
      <c r="DJ100" s="61"/>
      <c r="DK100" s="61"/>
      <c r="DL100" s="61"/>
      <c r="DM100" s="62"/>
      <c r="DN100" s="15">
        <v>57594.64</v>
      </c>
      <c r="DO100" s="16">
        <v>-31750.68</v>
      </c>
      <c r="DP100" s="17">
        <v>0</v>
      </c>
      <c r="DQ100" s="61">
        <v>224</v>
      </c>
      <c r="DR100" s="61">
        <v>324</v>
      </c>
      <c r="DS100" s="61"/>
      <c r="DT100" s="61"/>
      <c r="DU100" s="61"/>
      <c r="DV100" s="61"/>
      <c r="DW100" s="61"/>
      <c r="DX100" s="61"/>
      <c r="DY100" s="61"/>
      <c r="DZ100" s="61"/>
      <c r="EA100" s="61"/>
      <c r="EB100" s="14"/>
      <c r="EC100" s="15">
        <f t="shared" si="10"/>
        <v>548</v>
      </c>
      <c r="ED100" s="11">
        <f>CP100</f>
        <v>0</v>
      </c>
      <c r="EE100" s="61"/>
      <c r="EF100" s="61"/>
      <c r="EG100" s="61"/>
      <c r="EH100" s="61"/>
      <c r="EI100" s="61"/>
      <c r="EJ100" s="61"/>
      <c r="EK100" s="61"/>
      <c r="EL100" s="61"/>
      <c r="EM100" s="61"/>
      <c r="EN100" s="61"/>
      <c r="EO100" s="14"/>
      <c r="EP100" s="15">
        <f t="shared" si="11"/>
        <v>0</v>
      </c>
    </row>
    <row r="101" spans="1:146" s="18" customFormat="1" ht="35" customHeight="1">
      <c r="A101" s="4">
        <v>83</v>
      </c>
      <c r="B101" s="59" t="s">
        <v>472</v>
      </c>
      <c r="C101" s="219" t="s">
        <v>362</v>
      </c>
      <c r="D101" s="7">
        <v>1449900486937</v>
      </c>
      <c r="E101" s="7" t="s">
        <v>363</v>
      </c>
      <c r="F101" s="8" t="s">
        <v>34</v>
      </c>
      <c r="G101" s="9">
        <v>45021</v>
      </c>
      <c r="H101" s="10" t="s">
        <v>76</v>
      </c>
      <c r="I101" s="11">
        <v>400</v>
      </c>
      <c r="J101" s="11">
        <v>25</v>
      </c>
      <c r="K101" s="11">
        <v>10000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>
        <v>8</v>
      </c>
      <c r="W101" s="11">
        <v>400</v>
      </c>
      <c r="X101" s="11">
        <v>0</v>
      </c>
      <c r="Y101" s="11">
        <v>0</v>
      </c>
      <c r="Z101" s="11">
        <v>0</v>
      </c>
      <c r="AA101" s="11">
        <v>0</v>
      </c>
      <c r="AB101" s="11">
        <v>8</v>
      </c>
      <c r="AC101" s="11">
        <v>0</v>
      </c>
      <c r="AD101" s="12">
        <v>0</v>
      </c>
      <c r="AE101" s="11">
        <v>400</v>
      </c>
      <c r="AF101" s="11">
        <v>10800</v>
      </c>
      <c r="AG101" s="11">
        <v>1300</v>
      </c>
      <c r="AH101" s="11">
        <v>1890</v>
      </c>
      <c r="AI101" s="11">
        <v>1215</v>
      </c>
      <c r="AJ101" s="11">
        <v>1200</v>
      </c>
      <c r="AK101" s="11">
        <v>1890</v>
      </c>
      <c r="AL101" s="94">
        <v>0</v>
      </c>
      <c r="AM101" s="11">
        <v>940.92</v>
      </c>
      <c r="AN101" s="11">
        <v>0</v>
      </c>
      <c r="AO101" s="11">
        <v>0</v>
      </c>
      <c r="AP101" s="11">
        <v>0</v>
      </c>
      <c r="AQ101" s="11">
        <v>0</v>
      </c>
      <c r="AR101" s="11">
        <v>500</v>
      </c>
      <c r="AS101" s="11">
        <v>0</v>
      </c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>
        <v>16</v>
      </c>
      <c r="BV101" s="53">
        <v>1600</v>
      </c>
      <c r="BW101" s="53"/>
      <c r="BX101" s="53"/>
      <c r="BY101" s="11">
        <v>6</v>
      </c>
      <c r="BZ101" s="53">
        <v>900</v>
      </c>
      <c r="CA101" s="11">
        <v>0</v>
      </c>
      <c r="CB101" s="53">
        <v>0</v>
      </c>
      <c r="CC101" s="53"/>
      <c r="CD101" s="53"/>
      <c r="CE101" s="11">
        <v>0</v>
      </c>
      <c r="CF101" s="53">
        <v>0</v>
      </c>
      <c r="CG101" s="43">
        <v>8125</v>
      </c>
      <c r="CH101" s="11">
        <v>9735.92</v>
      </c>
      <c r="CI101" s="94">
        <v>0</v>
      </c>
      <c r="CJ101" s="11">
        <v>0</v>
      </c>
      <c r="CK101" s="13"/>
      <c r="CL101" s="13">
        <v>28660.92</v>
      </c>
      <c r="CM101" s="11"/>
      <c r="CN101" s="11"/>
      <c r="CO101" s="14">
        <v>324</v>
      </c>
      <c r="CP101" s="14"/>
      <c r="CQ101" s="14"/>
      <c r="CR101" s="94"/>
      <c r="CS101" s="94"/>
      <c r="CT101" s="11">
        <v>0</v>
      </c>
      <c r="CU101" s="11"/>
      <c r="CV101" s="11">
        <v>0</v>
      </c>
      <c r="CW101" s="11"/>
      <c r="CX101" s="11"/>
      <c r="CY101" s="11">
        <v>0</v>
      </c>
      <c r="CZ101" s="95">
        <f t="shared" si="8"/>
        <v>324</v>
      </c>
      <c r="DA101" s="13">
        <f t="shared" si="9"/>
        <v>28336.92</v>
      </c>
      <c r="DB101" s="61">
        <v>28933.72</v>
      </c>
      <c r="DC101" s="61">
        <v>28660.92</v>
      </c>
      <c r="DD101" s="61"/>
      <c r="DE101" s="61"/>
      <c r="DF101" s="61"/>
      <c r="DG101" s="61"/>
      <c r="DH101" s="61"/>
      <c r="DI101" s="61"/>
      <c r="DJ101" s="61"/>
      <c r="DK101" s="61"/>
      <c r="DL101" s="61"/>
      <c r="DM101" s="62"/>
      <c r="DN101" s="15">
        <v>57594.64</v>
      </c>
      <c r="DO101" s="16">
        <v>-31750.68</v>
      </c>
      <c r="DP101" s="17">
        <v>0</v>
      </c>
      <c r="DQ101" s="61">
        <v>224</v>
      </c>
      <c r="DR101" s="61">
        <v>324</v>
      </c>
      <c r="DS101" s="61"/>
      <c r="DT101" s="61"/>
      <c r="DU101" s="61"/>
      <c r="DV101" s="61"/>
      <c r="DW101" s="61"/>
      <c r="DX101" s="61"/>
      <c r="DY101" s="61"/>
      <c r="DZ101" s="61"/>
      <c r="EA101" s="61"/>
      <c r="EB101" s="14"/>
      <c r="EC101" s="15">
        <f t="shared" si="10"/>
        <v>548</v>
      </c>
      <c r="ED101" s="11">
        <f>CP101</f>
        <v>0</v>
      </c>
      <c r="EE101" s="61"/>
      <c r="EF101" s="61"/>
      <c r="EG101" s="61"/>
      <c r="EH101" s="61"/>
      <c r="EI101" s="61"/>
      <c r="EJ101" s="61"/>
      <c r="EK101" s="61"/>
      <c r="EL101" s="61"/>
      <c r="EM101" s="61"/>
      <c r="EN101" s="61"/>
      <c r="EO101" s="14"/>
      <c r="EP101" s="15">
        <f t="shared" si="11"/>
        <v>0</v>
      </c>
    </row>
    <row r="102" spans="1:146" s="18" customFormat="1" ht="35" customHeight="1">
      <c r="A102" s="4">
        <v>84</v>
      </c>
      <c r="B102" s="59" t="s">
        <v>473</v>
      </c>
      <c r="C102" s="219" t="s">
        <v>364</v>
      </c>
      <c r="D102" s="7">
        <v>1449900486938</v>
      </c>
      <c r="E102" s="7" t="s">
        <v>365</v>
      </c>
      <c r="F102" s="8" t="s">
        <v>34</v>
      </c>
      <c r="G102" s="9">
        <v>45022</v>
      </c>
      <c r="H102" s="10" t="s">
        <v>76</v>
      </c>
      <c r="I102" s="11">
        <v>400</v>
      </c>
      <c r="J102" s="11">
        <v>25</v>
      </c>
      <c r="K102" s="11">
        <v>10000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>
        <v>8</v>
      </c>
      <c r="W102" s="11">
        <v>400</v>
      </c>
      <c r="X102" s="11">
        <v>0</v>
      </c>
      <c r="Y102" s="11">
        <v>0</v>
      </c>
      <c r="Z102" s="11">
        <v>0</v>
      </c>
      <c r="AA102" s="11">
        <v>0</v>
      </c>
      <c r="AB102" s="11">
        <v>8</v>
      </c>
      <c r="AC102" s="11">
        <v>0</v>
      </c>
      <c r="AD102" s="12">
        <v>0</v>
      </c>
      <c r="AE102" s="11">
        <v>400</v>
      </c>
      <c r="AF102" s="11">
        <v>10800</v>
      </c>
      <c r="AG102" s="11">
        <v>1300</v>
      </c>
      <c r="AH102" s="11">
        <v>1890</v>
      </c>
      <c r="AI102" s="11">
        <v>1215</v>
      </c>
      <c r="AJ102" s="11">
        <v>1200</v>
      </c>
      <c r="AK102" s="11">
        <v>1890</v>
      </c>
      <c r="AL102" s="94">
        <v>0</v>
      </c>
      <c r="AM102" s="11">
        <v>940.92</v>
      </c>
      <c r="AN102" s="11">
        <v>0</v>
      </c>
      <c r="AO102" s="11">
        <v>0</v>
      </c>
      <c r="AP102" s="11">
        <v>0</v>
      </c>
      <c r="AQ102" s="11">
        <v>0</v>
      </c>
      <c r="AR102" s="11">
        <v>500</v>
      </c>
      <c r="AS102" s="11">
        <v>0</v>
      </c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>
        <v>16</v>
      </c>
      <c r="BV102" s="53">
        <v>1600</v>
      </c>
      <c r="BW102" s="53"/>
      <c r="BX102" s="53"/>
      <c r="BY102" s="11">
        <v>6</v>
      </c>
      <c r="BZ102" s="53">
        <v>900</v>
      </c>
      <c r="CA102" s="11">
        <v>0</v>
      </c>
      <c r="CB102" s="53">
        <v>0</v>
      </c>
      <c r="CC102" s="53"/>
      <c r="CD102" s="53"/>
      <c r="CE102" s="11">
        <v>0</v>
      </c>
      <c r="CF102" s="53">
        <v>0</v>
      </c>
      <c r="CG102" s="43">
        <v>8125</v>
      </c>
      <c r="CH102" s="11">
        <v>9735.92</v>
      </c>
      <c r="CI102" s="94">
        <v>0</v>
      </c>
      <c r="CJ102" s="11">
        <v>0</v>
      </c>
      <c r="CK102" s="13"/>
      <c r="CL102" s="13">
        <v>28660.92</v>
      </c>
      <c r="CM102" s="11"/>
      <c r="CN102" s="11"/>
      <c r="CO102" s="14">
        <v>324</v>
      </c>
      <c r="CP102" s="14"/>
      <c r="CQ102" s="14"/>
      <c r="CR102" s="94"/>
      <c r="CS102" s="94"/>
      <c r="CT102" s="11">
        <v>0</v>
      </c>
      <c r="CU102" s="11"/>
      <c r="CV102" s="11">
        <v>0</v>
      </c>
      <c r="CW102" s="11"/>
      <c r="CX102" s="11"/>
      <c r="CY102" s="11">
        <v>0</v>
      </c>
      <c r="CZ102" s="95">
        <f t="shared" si="8"/>
        <v>324</v>
      </c>
      <c r="DA102" s="13">
        <f t="shared" si="9"/>
        <v>28336.92</v>
      </c>
      <c r="DB102" s="61">
        <v>28933.72</v>
      </c>
      <c r="DC102" s="61">
        <v>28660.92</v>
      </c>
      <c r="DD102" s="61"/>
      <c r="DE102" s="61"/>
      <c r="DF102" s="61"/>
      <c r="DG102" s="61"/>
      <c r="DH102" s="61"/>
      <c r="DI102" s="61"/>
      <c r="DJ102" s="61"/>
      <c r="DK102" s="61"/>
      <c r="DL102" s="61"/>
      <c r="DM102" s="62"/>
      <c r="DN102" s="15">
        <v>57594.64</v>
      </c>
      <c r="DO102" s="16">
        <v>-31750.68</v>
      </c>
      <c r="DP102" s="17">
        <v>0</v>
      </c>
      <c r="DQ102" s="61">
        <v>224</v>
      </c>
      <c r="DR102" s="61">
        <v>324</v>
      </c>
      <c r="DS102" s="61"/>
      <c r="DT102" s="61"/>
      <c r="DU102" s="61"/>
      <c r="DV102" s="61"/>
      <c r="DW102" s="61"/>
      <c r="DX102" s="61"/>
      <c r="DY102" s="61"/>
      <c r="DZ102" s="61"/>
      <c r="EA102" s="61"/>
      <c r="EB102" s="14"/>
      <c r="EC102" s="15">
        <f t="shared" si="10"/>
        <v>548</v>
      </c>
      <c r="ED102" s="11">
        <f>CP102</f>
        <v>0</v>
      </c>
      <c r="EE102" s="61"/>
      <c r="EF102" s="61"/>
      <c r="EG102" s="61"/>
      <c r="EH102" s="61"/>
      <c r="EI102" s="61"/>
      <c r="EJ102" s="61"/>
      <c r="EK102" s="61"/>
      <c r="EL102" s="61"/>
      <c r="EM102" s="61"/>
      <c r="EN102" s="61"/>
      <c r="EO102" s="14"/>
      <c r="EP102" s="15">
        <f t="shared" si="11"/>
        <v>0</v>
      </c>
    </row>
    <row r="103" spans="1:146" s="18" customFormat="1" ht="35" customHeight="1">
      <c r="A103" s="4">
        <v>85</v>
      </c>
      <c r="B103" s="59" t="s">
        <v>474</v>
      </c>
      <c r="C103" s="219" t="s">
        <v>366</v>
      </c>
      <c r="D103" s="7">
        <v>1449900486939</v>
      </c>
      <c r="E103" s="7" t="s">
        <v>367</v>
      </c>
      <c r="F103" s="8" t="s">
        <v>34</v>
      </c>
      <c r="G103" s="9">
        <v>45023</v>
      </c>
      <c r="H103" s="10" t="s">
        <v>76</v>
      </c>
      <c r="I103" s="11">
        <v>400</v>
      </c>
      <c r="J103" s="11">
        <v>25</v>
      </c>
      <c r="K103" s="11">
        <v>10000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>
        <v>8</v>
      </c>
      <c r="W103" s="11">
        <v>400</v>
      </c>
      <c r="X103" s="11">
        <v>0</v>
      </c>
      <c r="Y103" s="11">
        <v>0</v>
      </c>
      <c r="Z103" s="11">
        <v>0</v>
      </c>
      <c r="AA103" s="11">
        <v>0</v>
      </c>
      <c r="AB103" s="11">
        <v>8</v>
      </c>
      <c r="AC103" s="11">
        <v>0</v>
      </c>
      <c r="AD103" s="12">
        <v>0</v>
      </c>
      <c r="AE103" s="11">
        <v>400</v>
      </c>
      <c r="AF103" s="11">
        <v>10800</v>
      </c>
      <c r="AG103" s="11">
        <v>1300</v>
      </c>
      <c r="AH103" s="11">
        <v>1890</v>
      </c>
      <c r="AI103" s="11">
        <v>1215</v>
      </c>
      <c r="AJ103" s="11">
        <v>1200</v>
      </c>
      <c r="AK103" s="11">
        <v>1890</v>
      </c>
      <c r="AL103" s="94">
        <v>0</v>
      </c>
      <c r="AM103" s="11">
        <v>940.92</v>
      </c>
      <c r="AN103" s="11">
        <v>0</v>
      </c>
      <c r="AO103" s="11">
        <v>0</v>
      </c>
      <c r="AP103" s="11">
        <v>0</v>
      </c>
      <c r="AQ103" s="11">
        <v>0</v>
      </c>
      <c r="AR103" s="11">
        <v>500</v>
      </c>
      <c r="AS103" s="11">
        <v>0</v>
      </c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>
        <v>16</v>
      </c>
      <c r="BV103" s="53">
        <v>1600</v>
      </c>
      <c r="BW103" s="53"/>
      <c r="BX103" s="53"/>
      <c r="BY103" s="11">
        <v>6</v>
      </c>
      <c r="BZ103" s="53">
        <v>900</v>
      </c>
      <c r="CA103" s="11">
        <v>0</v>
      </c>
      <c r="CB103" s="53">
        <v>0</v>
      </c>
      <c r="CC103" s="53"/>
      <c r="CD103" s="53"/>
      <c r="CE103" s="11">
        <v>0</v>
      </c>
      <c r="CF103" s="53">
        <v>0</v>
      </c>
      <c r="CG103" s="43">
        <v>8125</v>
      </c>
      <c r="CH103" s="11">
        <v>9735.92</v>
      </c>
      <c r="CI103" s="94">
        <v>0</v>
      </c>
      <c r="CJ103" s="11">
        <v>0</v>
      </c>
      <c r="CK103" s="13"/>
      <c r="CL103" s="13">
        <v>28660.92</v>
      </c>
      <c r="CM103" s="11"/>
      <c r="CN103" s="11"/>
      <c r="CO103" s="14">
        <v>324</v>
      </c>
      <c r="CP103" s="14"/>
      <c r="CQ103" s="14"/>
      <c r="CR103" s="94"/>
      <c r="CS103" s="94"/>
      <c r="CT103" s="11">
        <v>0</v>
      </c>
      <c r="CU103" s="11"/>
      <c r="CV103" s="11">
        <v>0</v>
      </c>
      <c r="CW103" s="11"/>
      <c r="CX103" s="11"/>
      <c r="CY103" s="11">
        <v>0</v>
      </c>
      <c r="CZ103" s="95">
        <f t="shared" si="8"/>
        <v>324</v>
      </c>
      <c r="DA103" s="13">
        <f t="shared" si="9"/>
        <v>28336.92</v>
      </c>
      <c r="DB103" s="61">
        <v>28933.72</v>
      </c>
      <c r="DC103" s="61">
        <v>28660.92</v>
      </c>
      <c r="DD103" s="61"/>
      <c r="DE103" s="61"/>
      <c r="DF103" s="61"/>
      <c r="DG103" s="61"/>
      <c r="DH103" s="61"/>
      <c r="DI103" s="61"/>
      <c r="DJ103" s="61"/>
      <c r="DK103" s="61"/>
      <c r="DL103" s="61"/>
      <c r="DM103" s="62"/>
      <c r="DN103" s="15">
        <v>57594.64</v>
      </c>
      <c r="DO103" s="16">
        <v>-31750.68</v>
      </c>
      <c r="DP103" s="17">
        <v>0</v>
      </c>
      <c r="DQ103" s="61">
        <v>224</v>
      </c>
      <c r="DR103" s="61">
        <v>324</v>
      </c>
      <c r="DS103" s="61"/>
      <c r="DT103" s="61"/>
      <c r="DU103" s="61"/>
      <c r="DV103" s="61"/>
      <c r="DW103" s="61"/>
      <c r="DX103" s="61"/>
      <c r="DY103" s="61"/>
      <c r="DZ103" s="61"/>
      <c r="EA103" s="61"/>
      <c r="EB103" s="14"/>
      <c r="EC103" s="15">
        <f t="shared" si="10"/>
        <v>548</v>
      </c>
      <c r="ED103" s="11">
        <f>CP103</f>
        <v>0</v>
      </c>
      <c r="EE103" s="61"/>
      <c r="EF103" s="61"/>
      <c r="EG103" s="61"/>
      <c r="EH103" s="61"/>
      <c r="EI103" s="61"/>
      <c r="EJ103" s="61"/>
      <c r="EK103" s="61"/>
      <c r="EL103" s="61"/>
      <c r="EM103" s="61"/>
      <c r="EN103" s="61"/>
      <c r="EO103" s="14"/>
      <c r="EP103" s="15">
        <f t="shared" si="11"/>
        <v>0</v>
      </c>
    </row>
    <row r="104" spans="1:146" s="18" customFormat="1" ht="35" customHeight="1">
      <c r="A104" s="4">
        <v>86</v>
      </c>
      <c r="B104" s="59" t="s">
        <v>475</v>
      </c>
      <c r="C104" s="219" t="s">
        <v>368</v>
      </c>
      <c r="D104" s="7">
        <v>1449900486940</v>
      </c>
      <c r="E104" s="7" t="s">
        <v>369</v>
      </c>
      <c r="F104" s="8" t="s">
        <v>34</v>
      </c>
      <c r="G104" s="9">
        <v>45024</v>
      </c>
      <c r="H104" s="10" t="s">
        <v>76</v>
      </c>
      <c r="I104" s="11">
        <v>400</v>
      </c>
      <c r="J104" s="11">
        <v>25</v>
      </c>
      <c r="K104" s="11">
        <v>10000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>
        <v>8</v>
      </c>
      <c r="W104" s="11">
        <v>400</v>
      </c>
      <c r="X104" s="11">
        <v>0</v>
      </c>
      <c r="Y104" s="11">
        <v>0</v>
      </c>
      <c r="Z104" s="11">
        <v>0</v>
      </c>
      <c r="AA104" s="11">
        <v>0</v>
      </c>
      <c r="AB104" s="11">
        <v>8</v>
      </c>
      <c r="AC104" s="11">
        <v>0</v>
      </c>
      <c r="AD104" s="12">
        <v>0</v>
      </c>
      <c r="AE104" s="11">
        <v>400</v>
      </c>
      <c r="AF104" s="11">
        <v>10800</v>
      </c>
      <c r="AG104" s="11">
        <v>1300</v>
      </c>
      <c r="AH104" s="11">
        <v>1890</v>
      </c>
      <c r="AI104" s="11">
        <v>1215</v>
      </c>
      <c r="AJ104" s="11">
        <v>1200</v>
      </c>
      <c r="AK104" s="11">
        <v>1890</v>
      </c>
      <c r="AL104" s="94">
        <v>0</v>
      </c>
      <c r="AM104" s="11">
        <v>940.92</v>
      </c>
      <c r="AN104" s="11">
        <v>0</v>
      </c>
      <c r="AO104" s="11">
        <v>0</v>
      </c>
      <c r="AP104" s="11">
        <v>0</v>
      </c>
      <c r="AQ104" s="11">
        <v>0</v>
      </c>
      <c r="AR104" s="11">
        <v>500</v>
      </c>
      <c r="AS104" s="11">
        <v>0</v>
      </c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>
        <v>16</v>
      </c>
      <c r="BV104" s="53">
        <v>1600</v>
      </c>
      <c r="BW104" s="53"/>
      <c r="BX104" s="53"/>
      <c r="BY104" s="11">
        <v>6</v>
      </c>
      <c r="BZ104" s="53">
        <v>900</v>
      </c>
      <c r="CA104" s="11">
        <v>0</v>
      </c>
      <c r="CB104" s="53">
        <v>0</v>
      </c>
      <c r="CC104" s="53"/>
      <c r="CD104" s="53"/>
      <c r="CE104" s="11">
        <v>0</v>
      </c>
      <c r="CF104" s="53">
        <v>0</v>
      </c>
      <c r="CG104" s="43">
        <v>8125</v>
      </c>
      <c r="CH104" s="11">
        <v>9735.92</v>
      </c>
      <c r="CI104" s="94">
        <v>0</v>
      </c>
      <c r="CJ104" s="11">
        <v>0</v>
      </c>
      <c r="CK104" s="13"/>
      <c r="CL104" s="13">
        <v>28660.92</v>
      </c>
      <c r="CM104" s="11"/>
      <c r="CN104" s="11"/>
      <c r="CO104" s="14">
        <v>324</v>
      </c>
      <c r="CP104" s="14"/>
      <c r="CQ104" s="14"/>
      <c r="CR104" s="94"/>
      <c r="CS104" s="94"/>
      <c r="CT104" s="11">
        <v>0</v>
      </c>
      <c r="CU104" s="11"/>
      <c r="CV104" s="11">
        <v>0</v>
      </c>
      <c r="CW104" s="11"/>
      <c r="CX104" s="11"/>
      <c r="CY104" s="11">
        <v>0</v>
      </c>
      <c r="CZ104" s="95">
        <f t="shared" si="8"/>
        <v>324</v>
      </c>
      <c r="DA104" s="13">
        <f t="shared" si="9"/>
        <v>28336.92</v>
      </c>
      <c r="DB104" s="61">
        <v>28933.72</v>
      </c>
      <c r="DC104" s="61">
        <v>28660.92</v>
      </c>
      <c r="DD104" s="61"/>
      <c r="DE104" s="61"/>
      <c r="DF104" s="61"/>
      <c r="DG104" s="61"/>
      <c r="DH104" s="61"/>
      <c r="DI104" s="61"/>
      <c r="DJ104" s="61"/>
      <c r="DK104" s="61"/>
      <c r="DL104" s="61"/>
      <c r="DM104" s="62"/>
      <c r="DN104" s="15">
        <v>57594.64</v>
      </c>
      <c r="DO104" s="16">
        <v>-31750.68</v>
      </c>
      <c r="DP104" s="17">
        <v>0</v>
      </c>
      <c r="DQ104" s="61">
        <v>224</v>
      </c>
      <c r="DR104" s="61">
        <v>324</v>
      </c>
      <c r="DS104" s="61"/>
      <c r="DT104" s="61"/>
      <c r="DU104" s="61"/>
      <c r="DV104" s="61"/>
      <c r="DW104" s="61"/>
      <c r="DX104" s="61"/>
      <c r="DY104" s="61"/>
      <c r="DZ104" s="61"/>
      <c r="EA104" s="61"/>
      <c r="EB104" s="14"/>
      <c r="EC104" s="15">
        <f t="shared" si="10"/>
        <v>548</v>
      </c>
      <c r="ED104" s="11">
        <f>CP104</f>
        <v>0</v>
      </c>
      <c r="EE104" s="61"/>
      <c r="EF104" s="61"/>
      <c r="EG104" s="61"/>
      <c r="EH104" s="61"/>
      <c r="EI104" s="61"/>
      <c r="EJ104" s="61"/>
      <c r="EK104" s="61"/>
      <c r="EL104" s="61"/>
      <c r="EM104" s="61"/>
      <c r="EN104" s="61"/>
      <c r="EO104" s="14"/>
      <c r="EP104" s="15">
        <f t="shared" si="11"/>
        <v>0</v>
      </c>
    </row>
    <row r="105" spans="1:146" s="18" customFormat="1" ht="35" customHeight="1">
      <c r="A105" s="4">
        <v>87</v>
      </c>
      <c r="B105" s="59" t="s">
        <v>476</v>
      </c>
      <c r="C105" s="219" t="s">
        <v>370</v>
      </c>
      <c r="D105" s="7">
        <v>1449900486941</v>
      </c>
      <c r="E105" s="7" t="s">
        <v>371</v>
      </c>
      <c r="F105" s="8" t="s">
        <v>34</v>
      </c>
      <c r="G105" s="9">
        <v>45025</v>
      </c>
      <c r="H105" s="10" t="s">
        <v>76</v>
      </c>
      <c r="I105" s="11">
        <v>400</v>
      </c>
      <c r="J105" s="11">
        <v>25</v>
      </c>
      <c r="K105" s="11">
        <v>10000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>
        <v>8</v>
      </c>
      <c r="W105" s="11">
        <v>400</v>
      </c>
      <c r="X105" s="11">
        <v>0</v>
      </c>
      <c r="Y105" s="11">
        <v>0</v>
      </c>
      <c r="Z105" s="11">
        <v>0</v>
      </c>
      <c r="AA105" s="11">
        <v>0</v>
      </c>
      <c r="AB105" s="11">
        <v>8</v>
      </c>
      <c r="AC105" s="11">
        <v>0</v>
      </c>
      <c r="AD105" s="12">
        <v>0</v>
      </c>
      <c r="AE105" s="11">
        <v>400</v>
      </c>
      <c r="AF105" s="11">
        <v>10800</v>
      </c>
      <c r="AG105" s="11">
        <v>1300</v>
      </c>
      <c r="AH105" s="11">
        <v>1890</v>
      </c>
      <c r="AI105" s="11">
        <v>1215</v>
      </c>
      <c r="AJ105" s="11">
        <v>1200</v>
      </c>
      <c r="AK105" s="11">
        <v>1890</v>
      </c>
      <c r="AL105" s="94">
        <v>0</v>
      </c>
      <c r="AM105" s="11">
        <v>940.92</v>
      </c>
      <c r="AN105" s="11">
        <v>0</v>
      </c>
      <c r="AO105" s="11">
        <v>0</v>
      </c>
      <c r="AP105" s="11">
        <v>0</v>
      </c>
      <c r="AQ105" s="11">
        <v>0</v>
      </c>
      <c r="AR105" s="11">
        <v>500</v>
      </c>
      <c r="AS105" s="11">
        <v>0</v>
      </c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>
        <v>16</v>
      </c>
      <c r="BV105" s="53">
        <v>1600</v>
      </c>
      <c r="BW105" s="53"/>
      <c r="BX105" s="53"/>
      <c r="BY105" s="11">
        <v>6</v>
      </c>
      <c r="BZ105" s="53">
        <v>900</v>
      </c>
      <c r="CA105" s="11">
        <v>0</v>
      </c>
      <c r="CB105" s="53">
        <v>0</v>
      </c>
      <c r="CC105" s="53"/>
      <c r="CD105" s="53"/>
      <c r="CE105" s="11">
        <v>0</v>
      </c>
      <c r="CF105" s="53">
        <v>0</v>
      </c>
      <c r="CG105" s="43">
        <v>8125</v>
      </c>
      <c r="CH105" s="11">
        <v>9735.92</v>
      </c>
      <c r="CI105" s="94">
        <v>0</v>
      </c>
      <c r="CJ105" s="11">
        <v>0</v>
      </c>
      <c r="CK105" s="13"/>
      <c r="CL105" s="13">
        <v>28660.92</v>
      </c>
      <c r="CM105" s="11"/>
      <c r="CN105" s="11"/>
      <c r="CO105" s="14">
        <v>324</v>
      </c>
      <c r="CP105" s="14"/>
      <c r="CQ105" s="14"/>
      <c r="CR105" s="94"/>
      <c r="CS105" s="94"/>
      <c r="CT105" s="11">
        <v>0</v>
      </c>
      <c r="CU105" s="11"/>
      <c r="CV105" s="11">
        <v>0</v>
      </c>
      <c r="CW105" s="11"/>
      <c r="CX105" s="11"/>
      <c r="CY105" s="11">
        <v>0</v>
      </c>
      <c r="CZ105" s="95">
        <f t="shared" si="8"/>
        <v>324</v>
      </c>
      <c r="DA105" s="13">
        <f t="shared" si="9"/>
        <v>28336.92</v>
      </c>
      <c r="DB105" s="61">
        <v>28933.72</v>
      </c>
      <c r="DC105" s="61">
        <v>28660.92</v>
      </c>
      <c r="DD105" s="61"/>
      <c r="DE105" s="61"/>
      <c r="DF105" s="61"/>
      <c r="DG105" s="61"/>
      <c r="DH105" s="61"/>
      <c r="DI105" s="61"/>
      <c r="DJ105" s="61"/>
      <c r="DK105" s="61"/>
      <c r="DL105" s="61"/>
      <c r="DM105" s="62"/>
      <c r="DN105" s="15">
        <v>57594.64</v>
      </c>
      <c r="DO105" s="16">
        <v>-31750.68</v>
      </c>
      <c r="DP105" s="17">
        <v>0</v>
      </c>
      <c r="DQ105" s="61">
        <v>224</v>
      </c>
      <c r="DR105" s="61">
        <v>324</v>
      </c>
      <c r="DS105" s="61"/>
      <c r="DT105" s="61"/>
      <c r="DU105" s="61"/>
      <c r="DV105" s="61"/>
      <c r="DW105" s="61"/>
      <c r="DX105" s="61"/>
      <c r="DY105" s="61"/>
      <c r="DZ105" s="61"/>
      <c r="EA105" s="61"/>
      <c r="EB105" s="14"/>
      <c r="EC105" s="15">
        <f t="shared" si="10"/>
        <v>548</v>
      </c>
      <c r="ED105" s="11">
        <f>CP105</f>
        <v>0</v>
      </c>
      <c r="EE105" s="61"/>
      <c r="EF105" s="61"/>
      <c r="EG105" s="61"/>
      <c r="EH105" s="61"/>
      <c r="EI105" s="61"/>
      <c r="EJ105" s="61"/>
      <c r="EK105" s="61"/>
      <c r="EL105" s="61"/>
      <c r="EM105" s="61"/>
      <c r="EN105" s="61"/>
      <c r="EO105" s="14"/>
      <c r="EP105" s="15">
        <f t="shared" si="11"/>
        <v>0</v>
      </c>
    </row>
    <row r="106" spans="1:146" s="18" customFormat="1" ht="35" customHeight="1">
      <c r="A106" s="4">
        <v>88</v>
      </c>
      <c r="B106" s="59" t="s">
        <v>477</v>
      </c>
      <c r="C106" s="219" t="s">
        <v>372</v>
      </c>
      <c r="D106" s="7">
        <v>1449900486942</v>
      </c>
      <c r="E106" s="7" t="s">
        <v>373</v>
      </c>
      <c r="F106" s="8" t="s">
        <v>34</v>
      </c>
      <c r="G106" s="9">
        <v>45026</v>
      </c>
      <c r="H106" s="10" t="s">
        <v>76</v>
      </c>
      <c r="I106" s="11">
        <v>400</v>
      </c>
      <c r="J106" s="11">
        <v>25</v>
      </c>
      <c r="K106" s="11">
        <v>10000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>
        <v>8</v>
      </c>
      <c r="W106" s="11">
        <v>400</v>
      </c>
      <c r="X106" s="11">
        <v>0</v>
      </c>
      <c r="Y106" s="11">
        <v>0</v>
      </c>
      <c r="Z106" s="11">
        <v>0</v>
      </c>
      <c r="AA106" s="11">
        <v>0</v>
      </c>
      <c r="AB106" s="11">
        <v>8</v>
      </c>
      <c r="AC106" s="11">
        <v>0</v>
      </c>
      <c r="AD106" s="12">
        <v>0</v>
      </c>
      <c r="AE106" s="11">
        <v>400</v>
      </c>
      <c r="AF106" s="11">
        <v>10800</v>
      </c>
      <c r="AG106" s="11">
        <v>1300</v>
      </c>
      <c r="AH106" s="11">
        <v>1890</v>
      </c>
      <c r="AI106" s="11">
        <v>1215</v>
      </c>
      <c r="AJ106" s="11">
        <v>1200</v>
      </c>
      <c r="AK106" s="11">
        <v>1890</v>
      </c>
      <c r="AL106" s="94">
        <v>0</v>
      </c>
      <c r="AM106" s="11">
        <v>940.92</v>
      </c>
      <c r="AN106" s="11">
        <v>0</v>
      </c>
      <c r="AO106" s="11">
        <v>0</v>
      </c>
      <c r="AP106" s="11">
        <v>0</v>
      </c>
      <c r="AQ106" s="11">
        <v>0</v>
      </c>
      <c r="AR106" s="11">
        <v>500</v>
      </c>
      <c r="AS106" s="11">
        <v>0</v>
      </c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>
        <v>16</v>
      </c>
      <c r="BV106" s="53">
        <v>1600</v>
      </c>
      <c r="BW106" s="53"/>
      <c r="BX106" s="53"/>
      <c r="BY106" s="11">
        <v>6</v>
      </c>
      <c r="BZ106" s="53">
        <v>900</v>
      </c>
      <c r="CA106" s="11">
        <v>0</v>
      </c>
      <c r="CB106" s="53">
        <v>0</v>
      </c>
      <c r="CC106" s="53"/>
      <c r="CD106" s="53"/>
      <c r="CE106" s="11">
        <v>0</v>
      </c>
      <c r="CF106" s="53">
        <v>0</v>
      </c>
      <c r="CG106" s="43">
        <v>8125</v>
      </c>
      <c r="CH106" s="11">
        <v>9735.92</v>
      </c>
      <c r="CI106" s="94">
        <v>0</v>
      </c>
      <c r="CJ106" s="11">
        <v>0</v>
      </c>
      <c r="CK106" s="13"/>
      <c r="CL106" s="13">
        <v>28660.92</v>
      </c>
      <c r="CM106" s="11"/>
      <c r="CN106" s="11"/>
      <c r="CO106" s="14">
        <v>324</v>
      </c>
      <c r="CP106" s="14"/>
      <c r="CQ106" s="14"/>
      <c r="CR106" s="94"/>
      <c r="CS106" s="94"/>
      <c r="CT106" s="11">
        <v>0</v>
      </c>
      <c r="CU106" s="11"/>
      <c r="CV106" s="11">
        <v>0</v>
      </c>
      <c r="CW106" s="11"/>
      <c r="CX106" s="11"/>
      <c r="CY106" s="11">
        <v>0</v>
      </c>
      <c r="CZ106" s="95">
        <f t="shared" si="8"/>
        <v>324</v>
      </c>
      <c r="DA106" s="13">
        <f t="shared" si="9"/>
        <v>28336.92</v>
      </c>
      <c r="DB106" s="61">
        <v>28933.72</v>
      </c>
      <c r="DC106" s="61">
        <v>28660.92</v>
      </c>
      <c r="DD106" s="61"/>
      <c r="DE106" s="61"/>
      <c r="DF106" s="61"/>
      <c r="DG106" s="61"/>
      <c r="DH106" s="61"/>
      <c r="DI106" s="61"/>
      <c r="DJ106" s="61"/>
      <c r="DK106" s="61"/>
      <c r="DL106" s="61"/>
      <c r="DM106" s="62"/>
      <c r="DN106" s="15">
        <v>57594.64</v>
      </c>
      <c r="DO106" s="16">
        <v>-31750.68</v>
      </c>
      <c r="DP106" s="17">
        <v>0</v>
      </c>
      <c r="DQ106" s="61">
        <v>224</v>
      </c>
      <c r="DR106" s="61">
        <v>324</v>
      </c>
      <c r="DS106" s="61"/>
      <c r="DT106" s="61"/>
      <c r="DU106" s="61"/>
      <c r="DV106" s="61"/>
      <c r="DW106" s="61"/>
      <c r="DX106" s="61"/>
      <c r="DY106" s="61"/>
      <c r="DZ106" s="61"/>
      <c r="EA106" s="61"/>
      <c r="EB106" s="14"/>
      <c r="EC106" s="15">
        <f t="shared" si="10"/>
        <v>548</v>
      </c>
      <c r="ED106" s="11">
        <f>CP106</f>
        <v>0</v>
      </c>
      <c r="EE106" s="61"/>
      <c r="EF106" s="61"/>
      <c r="EG106" s="61"/>
      <c r="EH106" s="61"/>
      <c r="EI106" s="61"/>
      <c r="EJ106" s="61"/>
      <c r="EK106" s="61"/>
      <c r="EL106" s="61"/>
      <c r="EM106" s="61"/>
      <c r="EN106" s="61"/>
      <c r="EO106" s="14"/>
      <c r="EP106" s="15">
        <f t="shared" si="11"/>
        <v>0</v>
      </c>
    </row>
    <row r="107" spans="1:146" s="18" customFormat="1" ht="35" customHeight="1">
      <c r="A107" s="4">
        <v>89</v>
      </c>
      <c r="B107" s="59" t="s">
        <v>478</v>
      </c>
      <c r="C107" s="219" t="s">
        <v>374</v>
      </c>
      <c r="D107" s="7">
        <v>1449900486943</v>
      </c>
      <c r="E107" s="7" t="s">
        <v>375</v>
      </c>
      <c r="F107" s="8" t="s">
        <v>34</v>
      </c>
      <c r="G107" s="9">
        <v>45027</v>
      </c>
      <c r="H107" s="10" t="s">
        <v>76</v>
      </c>
      <c r="I107" s="11">
        <v>400</v>
      </c>
      <c r="J107" s="11">
        <v>25</v>
      </c>
      <c r="K107" s="11">
        <v>10000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>
        <v>8</v>
      </c>
      <c r="W107" s="11">
        <v>400</v>
      </c>
      <c r="X107" s="11">
        <v>0</v>
      </c>
      <c r="Y107" s="11">
        <v>0</v>
      </c>
      <c r="Z107" s="11">
        <v>0</v>
      </c>
      <c r="AA107" s="11">
        <v>0</v>
      </c>
      <c r="AB107" s="11">
        <v>8</v>
      </c>
      <c r="AC107" s="11">
        <v>0</v>
      </c>
      <c r="AD107" s="12">
        <v>0</v>
      </c>
      <c r="AE107" s="11">
        <v>400</v>
      </c>
      <c r="AF107" s="11">
        <v>10800</v>
      </c>
      <c r="AG107" s="11">
        <v>1300</v>
      </c>
      <c r="AH107" s="11">
        <v>1890</v>
      </c>
      <c r="AI107" s="11">
        <v>1215</v>
      </c>
      <c r="AJ107" s="11">
        <v>1200</v>
      </c>
      <c r="AK107" s="11">
        <v>1890</v>
      </c>
      <c r="AL107" s="94">
        <v>0</v>
      </c>
      <c r="AM107" s="11">
        <v>940.92</v>
      </c>
      <c r="AN107" s="11">
        <v>0</v>
      </c>
      <c r="AO107" s="11">
        <v>0</v>
      </c>
      <c r="AP107" s="11">
        <v>0</v>
      </c>
      <c r="AQ107" s="11">
        <v>0</v>
      </c>
      <c r="AR107" s="11">
        <v>500</v>
      </c>
      <c r="AS107" s="11">
        <v>0</v>
      </c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>
        <v>16</v>
      </c>
      <c r="BV107" s="53">
        <v>1600</v>
      </c>
      <c r="BW107" s="53"/>
      <c r="BX107" s="53"/>
      <c r="BY107" s="11">
        <v>6</v>
      </c>
      <c r="BZ107" s="53">
        <v>900</v>
      </c>
      <c r="CA107" s="11">
        <v>0</v>
      </c>
      <c r="CB107" s="53">
        <v>0</v>
      </c>
      <c r="CC107" s="53"/>
      <c r="CD107" s="53"/>
      <c r="CE107" s="11">
        <v>0</v>
      </c>
      <c r="CF107" s="53">
        <v>0</v>
      </c>
      <c r="CG107" s="43">
        <v>8125</v>
      </c>
      <c r="CH107" s="11">
        <v>9735.92</v>
      </c>
      <c r="CI107" s="94">
        <v>0</v>
      </c>
      <c r="CJ107" s="11">
        <v>0</v>
      </c>
      <c r="CK107" s="13"/>
      <c r="CL107" s="13">
        <v>28660.92</v>
      </c>
      <c r="CM107" s="11"/>
      <c r="CN107" s="11"/>
      <c r="CO107" s="14">
        <v>324</v>
      </c>
      <c r="CP107" s="14"/>
      <c r="CQ107" s="14"/>
      <c r="CR107" s="94"/>
      <c r="CS107" s="94"/>
      <c r="CT107" s="11">
        <v>0</v>
      </c>
      <c r="CU107" s="11"/>
      <c r="CV107" s="11">
        <v>0</v>
      </c>
      <c r="CW107" s="11"/>
      <c r="CX107" s="11"/>
      <c r="CY107" s="11">
        <v>0</v>
      </c>
      <c r="CZ107" s="95">
        <f t="shared" si="8"/>
        <v>324</v>
      </c>
      <c r="DA107" s="13">
        <f t="shared" si="9"/>
        <v>28336.92</v>
      </c>
      <c r="DB107" s="61">
        <v>28933.72</v>
      </c>
      <c r="DC107" s="61">
        <v>28660.92</v>
      </c>
      <c r="DD107" s="61"/>
      <c r="DE107" s="61"/>
      <c r="DF107" s="61"/>
      <c r="DG107" s="61"/>
      <c r="DH107" s="61"/>
      <c r="DI107" s="61"/>
      <c r="DJ107" s="61"/>
      <c r="DK107" s="61"/>
      <c r="DL107" s="61"/>
      <c r="DM107" s="62"/>
      <c r="DN107" s="15">
        <v>57594.64</v>
      </c>
      <c r="DO107" s="16">
        <v>-31750.68</v>
      </c>
      <c r="DP107" s="17">
        <v>0</v>
      </c>
      <c r="DQ107" s="61">
        <v>224</v>
      </c>
      <c r="DR107" s="61">
        <v>324</v>
      </c>
      <c r="DS107" s="61"/>
      <c r="DT107" s="61"/>
      <c r="DU107" s="61"/>
      <c r="DV107" s="61"/>
      <c r="DW107" s="61"/>
      <c r="DX107" s="61"/>
      <c r="DY107" s="61"/>
      <c r="DZ107" s="61"/>
      <c r="EA107" s="61"/>
      <c r="EB107" s="14"/>
      <c r="EC107" s="15">
        <f t="shared" si="10"/>
        <v>548</v>
      </c>
      <c r="ED107" s="11">
        <f>CP107</f>
        <v>0</v>
      </c>
      <c r="EE107" s="61"/>
      <c r="EF107" s="61"/>
      <c r="EG107" s="61"/>
      <c r="EH107" s="61"/>
      <c r="EI107" s="61"/>
      <c r="EJ107" s="61"/>
      <c r="EK107" s="61"/>
      <c r="EL107" s="61"/>
      <c r="EM107" s="61"/>
      <c r="EN107" s="61"/>
      <c r="EO107" s="14"/>
      <c r="EP107" s="15">
        <f t="shared" si="11"/>
        <v>0</v>
      </c>
    </row>
    <row r="108" spans="1:146" s="18" customFormat="1" ht="35" customHeight="1">
      <c r="A108" s="4">
        <v>90</v>
      </c>
      <c r="B108" s="59" t="s">
        <v>479</v>
      </c>
      <c r="C108" s="219" t="s">
        <v>376</v>
      </c>
      <c r="D108" s="7">
        <v>1449900486944</v>
      </c>
      <c r="E108" s="7" t="s">
        <v>377</v>
      </c>
      <c r="F108" s="8" t="s">
        <v>34</v>
      </c>
      <c r="G108" s="9">
        <v>45028</v>
      </c>
      <c r="H108" s="10" t="s">
        <v>76</v>
      </c>
      <c r="I108" s="11">
        <v>400</v>
      </c>
      <c r="J108" s="11">
        <v>25</v>
      </c>
      <c r="K108" s="11">
        <v>10000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>
        <v>8</v>
      </c>
      <c r="W108" s="11">
        <v>400</v>
      </c>
      <c r="X108" s="11">
        <v>0</v>
      </c>
      <c r="Y108" s="11">
        <v>0</v>
      </c>
      <c r="Z108" s="11">
        <v>0</v>
      </c>
      <c r="AA108" s="11">
        <v>0</v>
      </c>
      <c r="AB108" s="11">
        <v>8</v>
      </c>
      <c r="AC108" s="11">
        <v>0</v>
      </c>
      <c r="AD108" s="12">
        <v>0</v>
      </c>
      <c r="AE108" s="11">
        <v>400</v>
      </c>
      <c r="AF108" s="11">
        <v>10800</v>
      </c>
      <c r="AG108" s="11">
        <v>1300</v>
      </c>
      <c r="AH108" s="11">
        <v>1890</v>
      </c>
      <c r="AI108" s="11">
        <v>1215</v>
      </c>
      <c r="AJ108" s="11">
        <v>1200</v>
      </c>
      <c r="AK108" s="11">
        <v>1890</v>
      </c>
      <c r="AL108" s="94">
        <v>0</v>
      </c>
      <c r="AM108" s="11">
        <v>940.92</v>
      </c>
      <c r="AN108" s="11">
        <v>0</v>
      </c>
      <c r="AO108" s="11">
        <v>0</v>
      </c>
      <c r="AP108" s="11">
        <v>0</v>
      </c>
      <c r="AQ108" s="11">
        <v>0</v>
      </c>
      <c r="AR108" s="11">
        <v>500</v>
      </c>
      <c r="AS108" s="11">
        <v>0</v>
      </c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>
        <v>16</v>
      </c>
      <c r="BV108" s="53">
        <v>1600</v>
      </c>
      <c r="BW108" s="53"/>
      <c r="BX108" s="53"/>
      <c r="BY108" s="11">
        <v>6</v>
      </c>
      <c r="BZ108" s="53">
        <v>900</v>
      </c>
      <c r="CA108" s="11">
        <v>0</v>
      </c>
      <c r="CB108" s="53">
        <v>0</v>
      </c>
      <c r="CC108" s="53"/>
      <c r="CD108" s="53"/>
      <c r="CE108" s="11">
        <v>0</v>
      </c>
      <c r="CF108" s="53">
        <v>0</v>
      </c>
      <c r="CG108" s="43">
        <v>8125</v>
      </c>
      <c r="CH108" s="11">
        <v>9735.92</v>
      </c>
      <c r="CI108" s="94">
        <v>0</v>
      </c>
      <c r="CJ108" s="11">
        <v>0</v>
      </c>
      <c r="CK108" s="13"/>
      <c r="CL108" s="13">
        <v>28660.92</v>
      </c>
      <c r="CM108" s="11"/>
      <c r="CN108" s="11"/>
      <c r="CO108" s="14">
        <v>324</v>
      </c>
      <c r="CP108" s="14"/>
      <c r="CQ108" s="14"/>
      <c r="CR108" s="94"/>
      <c r="CS108" s="94"/>
      <c r="CT108" s="11">
        <v>0</v>
      </c>
      <c r="CU108" s="11"/>
      <c r="CV108" s="11">
        <v>0</v>
      </c>
      <c r="CW108" s="11"/>
      <c r="CX108" s="11"/>
      <c r="CY108" s="11">
        <v>0</v>
      </c>
      <c r="CZ108" s="95">
        <f t="shared" si="8"/>
        <v>324</v>
      </c>
      <c r="DA108" s="13">
        <f t="shared" si="9"/>
        <v>28336.92</v>
      </c>
      <c r="DB108" s="61">
        <v>28933.72</v>
      </c>
      <c r="DC108" s="61">
        <v>28660.92</v>
      </c>
      <c r="DD108" s="61"/>
      <c r="DE108" s="61"/>
      <c r="DF108" s="61"/>
      <c r="DG108" s="61"/>
      <c r="DH108" s="61"/>
      <c r="DI108" s="61"/>
      <c r="DJ108" s="61"/>
      <c r="DK108" s="61"/>
      <c r="DL108" s="61"/>
      <c r="DM108" s="62"/>
      <c r="DN108" s="15">
        <v>57594.64</v>
      </c>
      <c r="DO108" s="16">
        <v>-31750.68</v>
      </c>
      <c r="DP108" s="17">
        <v>0</v>
      </c>
      <c r="DQ108" s="61">
        <v>224</v>
      </c>
      <c r="DR108" s="61">
        <v>324</v>
      </c>
      <c r="DS108" s="61"/>
      <c r="DT108" s="61"/>
      <c r="DU108" s="61"/>
      <c r="DV108" s="61"/>
      <c r="DW108" s="61"/>
      <c r="DX108" s="61"/>
      <c r="DY108" s="61"/>
      <c r="DZ108" s="61"/>
      <c r="EA108" s="61"/>
      <c r="EB108" s="14"/>
      <c r="EC108" s="15">
        <f t="shared" si="10"/>
        <v>548</v>
      </c>
      <c r="ED108" s="11">
        <f>CP108</f>
        <v>0</v>
      </c>
      <c r="EE108" s="61"/>
      <c r="EF108" s="61"/>
      <c r="EG108" s="61"/>
      <c r="EH108" s="61"/>
      <c r="EI108" s="61"/>
      <c r="EJ108" s="61"/>
      <c r="EK108" s="61"/>
      <c r="EL108" s="61"/>
      <c r="EM108" s="61"/>
      <c r="EN108" s="61"/>
      <c r="EO108" s="14"/>
      <c r="EP108" s="15">
        <f t="shared" si="11"/>
        <v>0</v>
      </c>
    </row>
    <row r="109" spans="1:146" s="18" customFormat="1" ht="35" customHeight="1">
      <c r="A109" s="4">
        <v>91</v>
      </c>
      <c r="B109" s="59" t="s">
        <v>480</v>
      </c>
      <c r="C109" s="219" t="s">
        <v>378</v>
      </c>
      <c r="D109" s="7">
        <v>1449900486945</v>
      </c>
      <c r="E109" s="7" t="s">
        <v>379</v>
      </c>
      <c r="F109" s="8" t="s">
        <v>34</v>
      </c>
      <c r="G109" s="9">
        <v>45029</v>
      </c>
      <c r="H109" s="10" t="s">
        <v>76</v>
      </c>
      <c r="I109" s="11">
        <v>400</v>
      </c>
      <c r="J109" s="11">
        <v>25</v>
      </c>
      <c r="K109" s="11">
        <v>10000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>
        <v>8</v>
      </c>
      <c r="W109" s="11">
        <v>400</v>
      </c>
      <c r="X109" s="11">
        <v>0</v>
      </c>
      <c r="Y109" s="11">
        <v>0</v>
      </c>
      <c r="Z109" s="11">
        <v>0</v>
      </c>
      <c r="AA109" s="11">
        <v>0</v>
      </c>
      <c r="AB109" s="11">
        <v>8</v>
      </c>
      <c r="AC109" s="11">
        <v>0</v>
      </c>
      <c r="AD109" s="12">
        <v>0</v>
      </c>
      <c r="AE109" s="11">
        <v>400</v>
      </c>
      <c r="AF109" s="11">
        <v>10800</v>
      </c>
      <c r="AG109" s="11">
        <v>1300</v>
      </c>
      <c r="AH109" s="11">
        <v>1890</v>
      </c>
      <c r="AI109" s="11">
        <v>1215</v>
      </c>
      <c r="AJ109" s="11">
        <v>1200</v>
      </c>
      <c r="AK109" s="11">
        <v>1890</v>
      </c>
      <c r="AL109" s="94">
        <v>0</v>
      </c>
      <c r="AM109" s="11">
        <v>940.92</v>
      </c>
      <c r="AN109" s="11">
        <v>0</v>
      </c>
      <c r="AO109" s="11">
        <v>0</v>
      </c>
      <c r="AP109" s="11">
        <v>0</v>
      </c>
      <c r="AQ109" s="11">
        <v>0</v>
      </c>
      <c r="AR109" s="11">
        <v>500</v>
      </c>
      <c r="AS109" s="11">
        <v>0</v>
      </c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>
        <v>16</v>
      </c>
      <c r="BV109" s="53">
        <v>1600</v>
      </c>
      <c r="BW109" s="53"/>
      <c r="BX109" s="53"/>
      <c r="BY109" s="11">
        <v>6</v>
      </c>
      <c r="BZ109" s="53">
        <v>900</v>
      </c>
      <c r="CA109" s="11">
        <v>0</v>
      </c>
      <c r="CB109" s="53">
        <v>0</v>
      </c>
      <c r="CC109" s="53"/>
      <c r="CD109" s="53"/>
      <c r="CE109" s="11">
        <v>0</v>
      </c>
      <c r="CF109" s="53">
        <v>0</v>
      </c>
      <c r="CG109" s="43">
        <v>8125</v>
      </c>
      <c r="CH109" s="11">
        <v>9735.92</v>
      </c>
      <c r="CI109" s="94">
        <v>0</v>
      </c>
      <c r="CJ109" s="11">
        <v>0</v>
      </c>
      <c r="CK109" s="13"/>
      <c r="CL109" s="13">
        <v>28660.92</v>
      </c>
      <c r="CM109" s="11"/>
      <c r="CN109" s="11"/>
      <c r="CO109" s="14">
        <v>324</v>
      </c>
      <c r="CP109" s="14"/>
      <c r="CQ109" s="14"/>
      <c r="CR109" s="94"/>
      <c r="CS109" s="94"/>
      <c r="CT109" s="11">
        <v>0</v>
      </c>
      <c r="CU109" s="11"/>
      <c r="CV109" s="11">
        <v>0</v>
      </c>
      <c r="CW109" s="11"/>
      <c r="CX109" s="11"/>
      <c r="CY109" s="11">
        <v>0</v>
      </c>
      <c r="CZ109" s="95">
        <f t="shared" si="8"/>
        <v>324</v>
      </c>
      <c r="DA109" s="13">
        <f t="shared" si="9"/>
        <v>28336.92</v>
      </c>
      <c r="DB109" s="61">
        <v>28933.72</v>
      </c>
      <c r="DC109" s="61">
        <v>28660.92</v>
      </c>
      <c r="DD109" s="61"/>
      <c r="DE109" s="61"/>
      <c r="DF109" s="61"/>
      <c r="DG109" s="61"/>
      <c r="DH109" s="61"/>
      <c r="DI109" s="61"/>
      <c r="DJ109" s="61"/>
      <c r="DK109" s="61"/>
      <c r="DL109" s="61"/>
      <c r="DM109" s="62"/>
      <c r="DN109" s="15">
        <v>57594.64</v>
      </c>
      <c r="DO109" s="16">
        <v>-31750.68</v>
      </c>
      <c r="DP109" s="17">
        <v>0</v>
      </c>
      <c r="DQ109" s="61">
        <v>224</v>
      </c>
      <c r="DR109" s="61">
        <v>324</v>
      </c>
      <c r="DS109" s="61"/>
      <c r="DT109" s="61"/>
      <c r="DU109" s="61"/>
      <c r="DV109" s="61"/>
      <c r="DW109" s="61"/>
      <c r="DX109" s="61"/>
      <c r="DY109" s="61"/>
      <c r="DZ109" s="61"/>
      <c r="EA109" s="61"/>
      <c r="EB109" s="14"/>
      <c r="EC109" s="15">
        <f t="shared" si="10"/>
        <v>548</v>
      </c>
      <c r="ED109" s="11">
        <f>CP109</f>
        <v>0</v>
      </c>
      <c r="EE109" s="61"/>
      <c r="EF109" s="61"/>
      <c r="EG109" s="61"/>
      <c r="EH109" s="61"/>
      <c r="EI109" s="61"/>
      <c r="EJ109" s="61"/>
      <c r="EK109" s="61"/>
      <c r="EL109" s="61"/>
      <c r="EM109" s="61"/>
      <c r="EN109" s="61"/>
      <c r="EO109" s="14"/>
      <c r="EP109" s="15">
        <f t="shared" si="11"/>
        <v>0</v>
      </c>
    </row>
    <row r="110" spans="1:146" s="18" customFormat="1" ht="35" customHeight="1">
      <c r="A110" s="4">
        <v>92</v>
      </c>
      <c r="B110" s="59" t="s">
        <v>481</v>
      </c>
      <c r="C110" s="219" t="s">
        <v>380</v>
      </c>
      <c r="D110" s="7">
        <v>1449900486946</v>
      </c>
      <c r="E110" s="7" t="s">
        <v>381</v>
      </c>
      <c r="F110" s="8" t="s">
        <v>34</v>
      </c>
      <c r="G110" s="9">
        <v>45030</v>
      </c>
      <c r="H110" s="10" t="s">
        <v>76</v>
      </c>
      <c r="I110" s="11">
        <v>400</v>
      </c>
      <c r="J110" s="11">
        <v>25</v>
      </c>
      <c r="K110" s="11">
        <v>10000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>
        <v>8</v>
      </c>
      <c r="W110" s="11">
        <v>400</v>
      </c>
      <c r="X110" s="11">
        <v>0</v>
      </c>
      <c r="Y110" s="11">
        <v>0</v>
      </c>
      <c r="Z110" s="11">
        <v>0</v>
      </c>
      <c r="AA110" s="11">
        <v>0</v>
      </c>
      <c r="AB110" s="11">
        <v>8</v>
      </c>
      <c r="AC110" s="11">
        <v>0</v>
      </c>
      <c r="AD110" s="12">
        <v>0</v>
      </c>
      <c r="AE110" s="11">
        <v>400</v>
      </c>
      <c r="AF110" s="11">
        <v>10800</v>
      </c>
      <c r="AG110" s="11">
        <v>1300</v>
      </c>
      <c r="AH110" s="11">
        <v>1890</v>
      </c>
      <c r="AI110" s="11">
        <v>1215</v>
      </c>
      <c r="AJ110" s="11">
        <v>1200</v>
      </c>
      <c r="AK110" s="11">
        <v>1890</v>
      </c>
      <c r="AL110" s="94">
        <v>0</v>
      </c>
      <c r="AM110" s="11">
        <v>940.92</v>
      </c>
      <c r="AN110" s="11">
        <v>0</v>
      </c>
      <c r="AO110" s="11">
        <v>0</v>
      </c>
      <c r="AP110" s="11">
        <v>0</v>
      </c>
      <c r="AQ110" s="11">
        <v>0</v>
      </c>
      <c r="AR110" s="11">
        <v>500</v>
      </c>
      <c r="AS110" s="11">
        <v>0</v>
      </c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>
        <v>16</v>
      </c>
      <c r="BV110" s="53">
        <v>1600</v>
      </c>
      <c r="BW110" s="53"/>
      <c r="BX110" s="53"/>
      <c r="BY110" s="11">
        <v>6</v>
      </c>
      <c r="BZ110" s="53">
        <v>900</v>
      </c>
      <c r="CA110" s="11">
        <v>0</v>
      </c>
      <c r="CB110" s="53">
        <v>0</v>
      </c>
      <c r="CC110" s="53"/>
      <c r="CD110" s="53"/>
      <c r="CE110" s="11">
        <v>0</v>
      </c>
      <c r="CF110" s="53">
        <v>0</v>
      </c>
      <c r="CG110" s="43">
        <v>8125</v>
      </c>
      <c r="CH110" s="11">
        <v>9735.92</v>
      </c>
      <c r="CI110" s="94">
        <v>0</v>
      </c>
      <c r="CJ110" s="11">
        <v>0</v>
      </c>
      <c r="CK110" s="13"/>
      <c r="CL110" s="13">
        <v>28660.92</v>
      </c>
      <c r="CM110" s="11"/>
      <c r="CN110" s="11"/>
      <c r="CO110" s="14">
        <v>324</v>
      </c>
      <c r="CP110" s="14"/>
      <c r="CQ110" s="14"/>
      <c r="CR110" s="94"/>
      <c r="CS110" s="94"/>
      <c r="CT110" s="11">
        <v>0</v>
      </c>
      <c r="CU110" s="11"/>
      <c r="CV110" s="11">
        <v>0</v>
      </c>
      <c r="CW110" s="11"/>
      <c r="CX110" s="11"/>
      <c r="CY110" s="11">
        <v>0</v>
      </c>
      <c r="CZ110" s="95">
        <f t="shared" si="8"/>
        <v>324</v>
      </c>
      <c r="DA110" s="13">
        <f t="shared" si="9"/>
        <v>28336.92</v>
      </c>
      <c r="DB110" s="61">
        <v>28933.72</v>
      </c>
      <c r="DC110" s="61">
        <v>28660.92</v>
      </c>
      <c r="DD110" s="61"/>
      <c r="DE110" s="61"/>
      <c r="DF110" s="61"/>
      <c r="DG110" s="61"/>
      <c r="DH110" s="61"/>
      <c r="DI110" s="61"/>
      <c r="DJ110" s="61"/>
      <c r="DK110" s="61"/>
      <c r="DL110" s="61"/>
      <c r="DM110" s="62"/>
      <c r="DN110" s="15">
        <v>57594.64</v>
      </c>
      <c r="DO110" s="16">
        <v>-31750.68</v>
      </c>
      <c r="DP110" s="17">
        <v>0</v>
      </c>
      <c r="DQ110" s="61">
        <v>224</v>
      </c>
      <c r="DR110" s="61">
        <v>324</v>
      </c>
      <c r="DS110" s="61"/>
      <c r="DT110" s="61"/>
      <c r="DU110" s="61"/>
      <c r="DV110" s="61"/>
      <c r="DW110" s="61"/>
      <c r="DX110" s="61"/>
      <c r="DY110" s="61"/>
      <c r="DZ110" s="61"/>
      <c r="EA110" s="61"/>
      <c r="EB110" s="14"/>
      <c r="EC110" s="15">
        <f t="shared" si="10"/>
        <v>548</v>
      </c>
      <c r="ED110" s="11">
        <f>CP110</f>
        <v>0</v>
      </c>
      <c r="EE110" s="61"/>
      <c r="EF110" s="61"/>
      <c r="EG110" s="61"/>
      <c r="EH110" s="61"/>
      <c r="EI110" s="61"/>
      <c r="EJ110" s="61"/>
      <c r="EK110" s="61"/>
      <c r="EL110" s="61"/>
      <c r="EM110" s="61"/>
      <c r="EN110" s="61"/>
      <c r="EO110" s="14"/>
      <c r="EP110" s="15">
        <f t="shared" si="11"/>
        <v>0</v>
      </c>
    </row>
    <row r="111" spans="1:146" s="18" customFormat="1" ht="35" customHeight="1">
      <c r="A111" s="4">
        <v>93</v>
      </c>
      <c r="B111" s="59" t="s">
        <v>482</v>
      </c>
      <c r="C111" s="219" t="s">
        <v>382</v>
      </c>
      <c r="D111" s="7">
        <v>1449900486947</v>
      </c>
      <c r="E111" s="7" t="s">
        <v>383</v>
      </c>
      <c r="F111" s="8" t="s">
        <v>34</v>
      </c>
      <c r="G111" s="9">
        <v>45031</v>
      </c>
      <c r="H111" s="10" t="s">
        <v>76</v>
      </c>
      <c r="I111" s="11">
        <v>400</v>
      </c>
      <c r="J111" s="11">
        <v>25</v>
      </c>
      <c r="K111" s="11">
        <v>10000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>
        <v>8</v>
      </c>
      <c r="W111" s="11">
        <v>400</v>
      </c>
      <c r="X111" s="11">
        <v>0</v>
      </c>
      <c r="Y111" s="11">
        <v>0</v>
      </c>
      <c r="Z111" s="11">
        <v>0</v>
      </c>
      <c r="AA111" s="11">
        <v>0</v>
      </c>
      <c r="AB111" s="11">
        <v>8</v>
      </c>
      <c r="AC111" s="11">
        <v>0</v>
      </c>
      <c r="AD111" s="12">
        <v>0</v>
      </c>
      <c r="AE111" s="11">
        <v>400</v>
      </c>
      <c r="AF111" s="11">
        <v>10800</v>
      </c>
      <c r="AG111" s="11">
        <v>1300</v>
      </c>
      <c r="AH111" s="11">
        <v>1890</v>
      </c>
      <c r="AI111" s="11">
        <v>1215</v>
      </c>
      <c r="AJ111" s="11">
        <v>1200</v>
      </c>
      <c r="AK111" s="11">
        <v>1890</v>
      </c>
      <c r="AL111" s="94">
        <v>0</v>
      </c>
      <c r="AM111" s="11">
        <v>940.92</v>
      </c>
      <c r="AN111" s="11">
        <v>0</v>
      </c>
      <c r="AO111" s="11">
        <v>0</v>
      </c>
      <c r="AP111" s="11">
        <v>0</v>
      </c>
      <c r="AQ111" s="11">
        <v>0</v>
      </c>
      <c r="AR111" s="11">
        <v>500</v>
      </c>
      <c r="AS111" s="11">
        <v>0</v>
      </c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>
        <v>16</v>
      </c>
      <c r="BV111" s="53">
        <v>1600</v>
      </c>
      <c r="BW111" s="53"/>
      <c r="BX111" s="53"/>
      <c r="BY111" s="11">
        <v>6</v>
      </c>
      <c r="BZ111" s="53">
        <v>900</v>
      </c>
      <c r="CA111" s="11">
        <v>0</v>
      </c>
      <c r="CB111" s="53">
        <v>0</v>
      </c>
      <c r="CC111" s="53"/>
      <c r="CD111" s="53"/>
      <c r="CE111" s="11">
        <v>0</v>
      </c>
      <c r="CF111" s="53">
        <v>0</v>
      </c>
      <c r="CG111" s="43">
        <v>8125</v>
      </c>
      <c r="CH111" s="11">
        <v>9735.92</v>
      </c>
      <c r="CI111" s="94">
        <v>0</v>
      </c>
      <c r="CJ111" s="11">
        <v>0</v>
      </c>
      <c r="CK111" s="13"/>
      <c r="CL111" s="13">
        <v>28660.92</v>
      </c>
      <c r="CM111" s="11"/>
      <c r="CN111" s="11"/>
      <c r="CO111" s="14">
        <v>324</v>
      </c>
      <c r="CP111" s="14"/>
      <c r="CQ111" s="14"/>
      <c r="CR111" s="94"/>
      <c r="CS111" s="94"/>
      <c r="CT111" s="11">
        <v>0</v>
      </c>
      <c r="CU111" s="11"/>
      <c r="CV111" s="11">
        <v>0</v>
      </c>
      <c r="CW111" s="11"/>
      <c r="CX111" s="11"/>
      <c r="CY111" s="11">
        <v>0</v>
      </c>
      <c r="CZ111" s="95">
        <f t="shared" si="8"/>
        <v>324</v>
      </c>
      <c r="DA111" s="13">
        <f t="shared" si="9"/>
        <v>28336.92</v>
      </c>
      <c r="DB111" s="61">
        <v>28933.72</v>
      </c>
      <c r="DC111" s="61">
        <v>28660.92</v>
      </c>
      <c r="DD111" s="61"/>
      <c r="DE111" s="61"/>
      <c r="DF111" s="61"/>
      <c r="DG111" s="61"/>
      <c r="DH111" s="61"/>
      <c r="DI111" s="61"/>
      <c r="DJ111" s="61"/>
      <c r="DK111" s="61"/>
      <c r="DL111" s="61"/>
      <c r="DM111" s="62"/>
      <c r="DN111" s="15">
        <v>57594.64</v>
      </c>
      <c r="DO111" s="16">
        <v>-31750.68</v>
      </c>
      <c r="DP111" s="17">
        <v>0</v>
      </c>
      <c r="DQ111" s="61">
        <v>224</v>
      </c>
      <c r="DR111" s="61">
        <v>324</v>
      </c>
      <c r="DS111" s="61"/>
      <c r="DT111" s="61"/>
      <c r="DU111" s="61"/>
      <c r="DV111" s="61"/>
      <c r="DW111" s="61"/>
      <c r="DX111" s="61"/>
      <c r="DY111" s="61"/>
      <c r="DZ111" s="61"/>
      <c r="EA111" s="61"/>
      <c r="EB111" s="14"/>
      <c r="EC111" s="15">
        <f t="shared" si="10"/>
        <v>548</v>
      </c>
      <c r="ED111" s="11">
        <f>CP111</f>
        <v>0</v>
      </c>
      <c r="EE111" s="61"/>
      <c r="EF111" s="61"/>
      <c r="EG111" s="61"/>
      <c r="EH111" s="61"/>
      <c r="EI111" s="61"/>
      <c r="EJ111" s="61"/>
      <c r="EK111" s="61"/>
      <c r="EL111" s="61"/>
      <c r="EM111" s="61"/>
      <c r="EN111" s="61"/>
      <c r="EO111" s="14"/>
      <c r="EP111" s="15">
        <f t="shared" si="11"/>
        <v>0</v>
      </c>
    </row>
    <row r="112" spans="1:146" s="18" customFormat="1" ht="35" customHeight="1">
      <c r="A112" s="4">
        <v>94</v>
      </c>
      <c r="B112" s="59" t="s">
        <v>483</v>
      </c>
      <c r="C112" s="219" t="s">
        <v>384</v>
      </c>
      <c r="D112" s="7">
        <v>1449900486948</v>
      </c>
      <c r="E112" s="7" t="s">
        <v>385</v>
      </c>
      <c r="F112" s="8" t="s">
        <v>34</v>
      </c>
      <c r="G112" s="9">
        <v>45032</v>
      </c>
      <c r="H112" s="10" t="s">
        <v>76</v>
      </c>
      <c r="I112" s="11">
        <v>400</v>
      </c>
      <c r="J112" s="11">
        <v>25</v>
      </c>
      <c r="K112" s="11">
        <v>10000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>
        <v>8</v>
      </c>
      <c r="W112" s="11">
        <v>400</v>
      </c>
      <c r="X112" s="11">
        <v>0</v>
      </c>
      <c r="Y112" s="11">
        <v>0</v>
      </c>
      <c r="Z112" s="11">
        <v>0</v>
      </c>
      <c r="AA112" s="11">
        <v>0</v>
      </c>
      <c r="AB112" s="11">
        <v>8</v>
      </c>
      <c r="AC112" s="11">
        <v>0</v>
      </c>
      <c r="AD112" s="12">
        <v>0</v>
      </c>
      <c r="AE112" s="11">
        <v>400</v>
      </c>
      <c r="AF112" s="11">
        <v>10800</v>
      </c>
      <c r="AG112" s="11">
        <v>1300</v>
      </c>
      <c r="AH112" s="11">
        <v>1890</v>
      </c>
      <c r="AI112" s="11">
        <v>1215</v>
      </c>
      <c r="AJ112" s="11">
        <v>1200</v>
      </c>
      <c r="AK112" s="11">
        <v>1890</v>
      </c>
      <c r="AL112" s="94">
        <v>0</v>
      </c>
      <c r="AM112" s="11">
        <v>940.92</v>
      </c>
      <c r="AN112" s="11">
        <v>0</v>
      </c>
      <c r="AO112" s="11">
        <v>0</v>
      </c>
      <c r="AP112" s="11">
        <v>0</v>
      </c>
      <c r="AQ112" s="11">
        <v>0</v>
      </c>
      <c r="AR112" s="11">
        <v>500</v>
      </c>
      <c r="AS112" s="11">
        <v>0</v>
      </c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>
        <v>16</v>
      </c>
      <c r="BV112" s="53">
        <v>1600</v>
      </c>
      <c r="BW112" s="53"/>
      <c r="BX112" s="53"/>
      <c r="BY112" s="11">
        <v>6</v>
      </c>
      <c r="BZ112" s="53">
        <v>900</v>
      </c>
      <c r="CA112" s="11">
        <v>0</v>
      </c>
      <c r="CB112" s="53">
        <v>0</v>
      </c>
      <c r="CC112" s="53"/>
      <c r="CD112" s="53"/>
      <c r="CE112" s="11">
        <v>0</v>
      </c>
      <c r="CF112" s="53">
        <v>0</v>
      </c>
      <c r="CG112" s="43">
        <v>8125</v>
      </c>
      <c r="CH112" s="11">
        <v>9735.92</v>
      </c>
      <c r="CI112" s="94">
        <v>0</v>
      </c>
      <c r="CJ112" s="11">
        <v>0</v>
      </c>
      <c r="CK112" s="13"/>
      <c r="CL112" s="13">
        <v>28660.92</v>
      </c>
      <c r="CM112" s="11"/>
      <c r="CN112" s="11"/>
      <c r="CO112" s="14">
        <v>324</v>
      </c>
      <c r="CP112" s="14"/>
      <c r="CQ112" s="14"/>
      <c r="CR112" s="94"/>
      <c r="CS112" s="94"/>
      <c r="CT112" s="11">
        <v>0</v>
      </c>
      <c r="CU112" s="11"/>
      <c r="CV112" s="11">
        <v>0</v>
      </c>
      <c r="CW112" s="11"/>
      <c r="CX112" s="11"/>
      <c r="CY112" s="11">
        <v>0</v>
      </c>
      <c r="CZ112" s="95">
        <f t="shared" si="8"/>
        <v>324</v>
      </c>
      <c r="DA112" s="13">
        <f t="shared" si="9"/>
        <v>28336.92</v>
      </c>
      <c r="DB112" s="61">
        <v>28933.72</v>
      </c>
      <c r="DC112" s="61">
        <v>28660.92</v>
      </c>
      <c r="DD112" s="61"/>
      <c r="DE112" s="61"/>
      <c r="DF112" s="61"/>
      <c r="DG112" s="61"/>
      <c r="DH112" s="61"/>
      <c r="DI112" s="61"/>
      <c r="DJ112" s="61"/>
      <c r="DK112" s="61"/>
      <c r="DL112" s="61"/>
      <c r="DM112" s="62"/>
      <c r="DN112" s="15">
        <v>57594.64</v>
      </c>
      <c r="DO112" s="16">
        <v>-31750.68</v>
      </c>
      <c r="DP112" s="17">
        <v>0</v>
      </c>
      <c r="DQ112" s="61">
        <v>224</v>
      </c>
      <c r="DR112" s="61">
        <v>324</v>
      </c>
      <c r="DS112" s="61"/>
      <c r="DT112" s="61"/>
      <c r="DU112" s="61"/>
      <c r="DV112" s="61"/>
      <c r="DW112" s="61"/>
      <c r="DX112" s="61"/>
      <c r="DY112" s="61"/>
      <c r="DZ112" s="61"/>
      <c r="EA112" s="61"/>
      <c r="EB112" s="14"/>
      <c r="EC112" s="15">
        <f t="shared" si="10"/>
        <v>548</v>
      </c>
      <c r="ED112" s="11">
        <f>CP112</f>
        <v>0</v>
      </c>
      <c r="EE112" s="61"/>
      <c r="EF112" s="61"/>
      <c r="EG112" s="61"/>
      <c r="EH112" s="61"/>
      <c r="EI112" s="61"/>
      <c r="EJ112" s="61"/>
      <c r="EK112" s="61"/>
      <c r="EL112" s="61"/>
      <c r="EM112" s="61"/>
      <c r="EN112" s="61"/>
      <c r="EO112" s="14"/>
      <c r="EP112" s="15">
        <f t="shared" si="11"/>
        <v>0</v>
      </c>
    </row>
    <row r="113" spans="1:146" s="18" customFormat="1" ht="35" customHeight="1">
      <c r="A113" s="4">
        <v>95</v>
      </c>
      <c r="B113" s="59" t="s">
        <v>484</v>
      </c>
      <c r="C113" s="219" t="s">
        <v>386</v>
      </c>
      <c r="D113" s="7">
        <v>1449900486949</v>
      </c>
      <c r="E113" s="7" t="s">
        <v>387</v>
      </c>
      <c r="F113" s="8" t="s">
        <v>34</v>
      </c>
      <c r="G113" s="9">
        <v>45033</v>
      </c>
      <c r="H113" s="10" t="s">
        <v>76</v>
      </c>
      <c r="I113" s="11">
        <v>400</v>
      </c>
      <c r="J113" s="11">
        <v>25</v>
      </c>
      <c r="K113" s="11">
        <v>10000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>
        <v>8</v>
      </c>
      <c r="W113" s="11">
        <v>400</v>
      </c>
      <c r="X113" s="11">
        <v>0</v>
      </c>
      <c r="Y113" s="11">
        <v>0</v>
      </c>
      <c r="Z113" s="11">
        <v>0</v>
      </c>
      <c r="AA113" s="11">
        <v>0</v>
      </c>
      <c r="AB113" s="11">
        <v>8</v>
      </c>
      <c r="AC113" s="11">
        <v>0</v>
      </c>
      <c r="AD113" s="12">
        <v>0</v>
      </c>
      <c r="AE113" s="11">
        <v>400</v>
      </c>
      <c r="AF113" s="11">
        <v>10800</v>
      </c>
      <c r="AG113" s="11">
        <v>1300</v>
      </c>
      <c r="AH113" s="11">
        <v>1890</v>
      </c>
      <c r="AI113" s="11">
        <v>1215</v>
      </c>
      <c r="AJ113" s="11">
        <v>1200</v>
      </c>
      <c r="AK113" s="11">
        <v>1890</v>
      </c>
      <c r="AL113" s="94">
        <v>0</v>
      </c>
      <c r="AM113" s="11">
        <v>940.92</v>
      </c>
      <c r="AN113" s="11">
        <v>0</v>
      </c>
      <c r="AO113" s="11">
        <v>0</v>
      </c>
      <c r="AP113" s="11">
        <v>0</v>
      </c>
      <c r="AQ113" s="11">
        <v>0</v>
      </c>
      <c r="AR113" s="11">
        <v>500</v>
      </c>
      <c r="AS113" s="11">
        <v>0</v>
      </c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>
        <v>16</v>
      </c>
      <c r="BV113" s="53">
        <v>1600</v>
      </c>
      <c r="BW113" s="53"/>
      <c r="BX113" s="53"/>
      <c r="BY113" s="11">
        <v>6</v>
      </c>
      <c r="BZ113" s="53">
        <v>900</v>
      </c>
      <c r="CA113" s="11">
        <v>0</v>
      </c>
      <c r="CB113" s="53">
        <v>0</v>
      </c>
      <c r="CC113" s="53"/>
      <c r="CD113" s="53"/>
      <c r="CE113" s="11">
        <v>0</v>
      </c>
      <c r="CF113" s="53">
        <v>0</v>
      </c>
      <c r="CG113" s="43">
        <v>8125</v>
      </c>
      <c r="CH113" s="11">
        <v>9735.92</v>
      </c>
      <c r="CI113" s="94">
        <v>0</v>
      </c>
      <c r="CJ113" s="11">
        <v>0</v>
      </c>
      <c r="CK113" s="13"/>
      <c r="CL113" s="13">
        <v>28660.92</v>
      </c>
      <c r="CM113" s="11"/>
      <c r="CN113" s="11"/>
      <c r="CO113" s="14">
        <v>324</v>
      </c>
      <c r="CP113" s="14"/>
      <c r="CQ113" s="14"/>
      <c r="CR113" s="94"/>
      <c r="CS113" s="94"/>
      <c r="CT113" s="11">
        <v>0</v>
      </c>
      <c r="CU113" s="11"/>
      <c r="CV113" s="11">
        <v>0</v>
      </c>
      <c r="CW113" s="11"/>
      <c r="CX113" s="11"/>
      <c r="CY113" s="11">
        <v>0</v>
      </c>
      <c r="CZ113" s="95">
        <f t="shared" si="8"/>
        <v>324</v>
      </c>
      <c r="DA113" s="13">
        <f t="shared" si="9"/>
        <v>28336.92</v>
      </c>
      <c r="DB113" s="61">
        <v>28933.72</v>
      </c>
      <c r="DC113" s="61">
        <v>28660.92</v>
      </c>
      <c r="DD113" s="61"/>
      <c r="DE113" s="61"/>
      <c r="DF113" s="61"/>
      <c r="DG113" s="61"/>
      <c r="DH113" s="61"/>
      <c r="DI113" s="61"/>
      <c r="DJ113" s="61"/>
      <c r="DK113" s="61"/>
      <c r="DL113" s="61"/>
      <c r="DM113" s="62"/>
      <c r="DN113" s="15">
        <v>57594.64</v>
      </c>
      <c r="DO113" s="16">
        <v>-31750.68</v>
      </c>
      <c r="DP113" s="17">
        <v>0</v>
      </c>
      <c r="DQ113" s="61">
        <v>224</v>
      </c>
      <c r="DR113" s="61">
        <v>324</v>
      </c>
      <c r="DS113" s="61"/>
      <c r="DT113" s="61"/>
      <c r="DU113" s="61"/>
      <c r="DV113" s="61"/>
      <c r="DW113" s="61"/>
      <c r="DX113" s="61"/>
      <c r="DY113" s="61"/>
      <c r="DZ113" s="61"/>
      <c r="EA113" s="61"/>
      <c r="EB113" s="14"/>
      <c r="EC113" s="15">
        <f t="shared" si="10"/>
        <v>548</v>
      </c>
      <c r="ED113" s="11">
        <f>CP113</f>
        <v>0</v>
      </c>
      <c r="EE113" s="61"/>
      <c r="EF113" s="61"/>
      <c r="EG113" s="61"/>
      <c r="EH113" s="61"/>
      <c r="EI113" s="61"/>
      <c r="EJ113" s="61"/>
      <c r="EK113" s="61"/>
      <c r="EL113" s="61"/>
      <c r="EM113" s="61"/>
      <c r="EN113" s="61"/>
      <c r="EO113" s="14"/>
      <c r="EP113" s="15">
        <f t="shared" si="11"/>
        <v>0</v>
      </c>
    </row>
    <row r="114" spans="1:146" s="18" customFormat="1" ht="35" customHeight="1">
      <c r="A114" s="4">
        <v>96</v>
      </c>
      <c r="B114" s="59" t="s">
        <v>485</v>
      </c>
      <c r="C114" s="219" t="s">
        <v>388</v>
      </c>
      <c r="D114" s="7">
        <v>1449900486950</v>
      </c>
      <c r="E114" s="7" t="s">
        <v>389</v>
      </c>
      <c r="F114" s="8" t="s">
        <v>34</v>
      </c>
      <c r="G114" s="9">
        <v>45034</v>
      </c>
      <c r="H114" s="10" t="s">
        <v>76</v>
      </c>
      <c r="I114" s="11">
        <v>400</v>
      </c>
      <c r="J114" s="11">
        <v>25</v>
      </c>
      <c r="K114" s="11">
        <v>10000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>
        <v>8</v>
      </c>
      <c r="W114" s="11">
        <v>400</v>
      </c>
      <c r="X114" s="11">
        <v>0</v>
      </c>
      <c r="Y114" s="11">
        <v>0</v>
      </c>
      <c r="Z114" s="11">
        <v>0</v>
      </c>
      <c r="AA114" s="11">
        <v>0</v>
      </c>
      <c r="AB114" s="11">
        <v>8</v>
      </c>
      <c r="AC114" s="11">
        <v>0</v>
      </c>
      <c r="AD114" s="12">
        <v>0</v>
      </c>
      <c r="AE114" s="11">
        <v>400</v>
      </c>
      <c r="AF114" s="11">
        <v>10800</v>
      </c>
      <c r="AG114" s="11">
        <v>1300</v>
      </c>
      <c r="AH114" s="11">
        <v>1890</v>
      </c>
      <c r="AI114" s="11">
        <v>1215</v>
      </c>
      <c r="AJ114" s="11">
        <v>1200</v>
      </c>
      <c r="AK114" s="11">
        <v>1890</v>
      </c>
      <c r="AL114" s="94">
        <v>0</v>
      </c>
      <c r="AM114" s="11">
        <v>940.92</v>
      </c>
      <c r="AN114" s="11">
        <v>0</v>
      </c>
      <c r="AO114" s="11">
        <v>0</v>
      </c>
      <c r="AP114" s="11">
        <v>0</v>
      </c>
      <c r="AQ114" s="11">
        <v>0</v>
      </c>
      <c r="AR114" s="11">
        <v>500</v>
      </c>
      <c r="AS114" s="11">
        <v>0</v>
      </c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>
        <v>16</v>
      </c>
      <c r="BV114" s="53">
        <v>1600</v>
      </c>
      <c r="BW114" s="53"/>
      <c r="BX114" s="53"/>
      <c r="BY114" s="11">
        <v>6</v>
      </c>
      <c r="BZ114" s="53">
        <v>900</v>
      </c>
      <c r="CA114" s="11">
        <v>0</v>
      </c>
      <c r="CB114" s="53">
        <v>0</v>
      </c>
      <c r="CC114" s="53"/>
      <c r="CD114" s="53"/>
      <c r="CE114" s="11">
        <v>0</v>
      </c>
      <c r="CF114" s="53">
        <v>0</v>
      </c>
      <c r="CG114" s="43">
        <v>8125</v>
      </c>
      <c r="CH114" s="11">
        <v>9735.92</v>
      </c>
      <c r="CI114" s="94">
        <v>0</v>
      </c>
      <c r="CJ114" s="11">
        <v>0</v>
      </c>
      <c r="CK114" s="13"/>
      <c r="CL114" s="13">
        <v>28660.92</v>
      </c>
      <c r="CM114" s="11"/>
      <c r="CN114" s="11"/>
      <c r="CO114" s="14">
        <v>324</v>
      </c>
      <c r="CP114" s="14"/>
      <c r="CQ114" s="14"/>
      <c r="CR114" s="94"/>
      <c r="CS114" s="94"/>
      <c r="CT114" s="11">
        <v>0</v>
      </c>
      <c r="CU114" s="11"/>
      <c r="CV114" s="11">
        <v>0</v>
      </c>
      <c r="CW114" s="11"/>
      <c r="CX114" s="11"/>
      <c r="CY114" s="11">
        <v>0</v>
      </c>
      <c r="CZ114" s="95">
        <f t="shared" si="8"/>
        <v>324</v>
      </c>
      <c r="DA114" s="13">
        <f t="shared" si="9"/>
        <v>28336.92</v>
      </c>
      <c r="DB114" s="61">
        <v>28933.72</v>
      </c>
      <c r="DC114" s="61">
        <v>28660.92</v>
      </c>
      <c r="DD114" s="61"/>
      <c r="DE114" s="61"/>
      <c r="DF114" s="61"/>
      <c r="DG114" s="61"/>
      <c r="DH114" s="61"/>
      <c r="DI114" s="61"/>
      <c r="DJ114" s="61"/>
      <c r="DK114" s="61"/>
      <c r="DL114" s="61"/>
      <c r="DM114" s="62"/>
      <c r="DN114" s="15">
        <v>57594.64</v>
      </c>
      <c r="DO114" s="16">
        <v>-31750.68</v>
      </c>
      <c r="DP114" s="17">
        <v>0</v>
      </c>
      <c r="DQ114" s="61">
        <v>224</v>
      </c>
      <c r="DR114" s="61">
        <v>324</v>
      </c>
      <c r="DS114" s="61"/>
      <c r="DT114" s="61"/>
      <c r="DU114" s="61"/>
      <c r="DV114" s="61"/>
      <c r="DW114" s="61"/>
      <c r="DX114" s="61"/>
      <c r="DY114" s="61"/>
      <c r="DZ114" s="61"/>
      <c r="EA114" s="61"/>
      <c r="EB114" s="14"/>
      <c r="EC114" s="15">
        <f t="shared" si="10"/>
        <v>548</v>
      </c>
      <c r="ED114" s="11">
        <f>CP114</f>
        <v>0</v>
      </c>
      <c r="EE114" s="61"/>
      <c r="EF114" s="61"/>
      <c r="EG114" s="61"/>
      <c r="EH114" s="61"/>
      <c r="EI114" s="61"/>
      <c r="EJ114" s="61"/>
      <c r="EK114" s="61"/>
      <c r="EL114" s="61"/>
      <c r="EM114" s="61"/>
      <c r="EN114" s="61"/>
      <c r="EO114" s="14"/>
      <c r="EP114" s="15">
        <f t="shared" si="11"/>
        <v>0</v>
      </c>
    </row>
    <row r="115" spans="1:146" s="18" customFormat="1" ht="35" customHeight="1">
      <c r="A115" s="4">
        <v>97</v>
      </c>
      <c r="B115" s="59" t="s">
        <v>486</v>
      </c>
      <c r="C115" s="219" t="s">
        <v>390</v>
      </c>
      <c r="D115" s="7">
        <v>1449900486951</v>
      </c>
      <c r="E115" s="7" t="s">
        <v>391</v>
      </c>
      <c r="F115" s="8" t="s">
        <v>34</v>
      </c>
      <c r="G115" s="9">
        <v>45035</v>
      </c>
      <c r="H115" s="10" t="s">
        <v>76</v>
      </c>
      <c r="I115" s="11">
        <v>400</v>
      </c>
      <c r="J115" s="11">
        <v>25</v>
      </c>
      <c r="K115" s="11">
        <v>10000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>
        <v>8</v>
      </c>
      <c r="W115" s="11">
        <v>400</v>
      </c>
      <c r="X115" s="11">
        <v>0</v>
      </c>
      <c r="Y115" s="11">
        <v>0</v>
      </c>
      <c r="Z115" s="11">
        <v>0</v>
      </c>
      <c r="AA115" s="11">
        <v>0</v>
      </c>
      <c r="AB115" s="11">
        <v>8</v>
      </c>
      <c r="AC115" s="11">
        <v>0</v>
      </c>
      <c r="AD115" s="12">
        <v>0</v>
      </c>
      <c r="AE115" s="11">
        <v>400</v>
      </c>
      <c r="AF115" s="11">
        <v>10800</v>
      </c>
      <c r="AG115" s="11">
        <v>1300</v>
      </c>
      <c r="AH115" s="11">
        <v>1890</v>
      </c>
      <c r="AI115" s="11">
        <v>1215</v>
      </c>
      <c r="AJ115" s="11">
        <v>1200</v>
      </c>
      <c r="AK115" s="11">
        <v>1890</v>
      </c>
      <c r="AL115" s="94">
        <v>0</v>
      </c>
      <c r="AM115" s="11">
        <v>940.92</v>
      </c>
      <c r="AN115" s="11">
        <v>0</v>
      </c>
      <c r="AO115" s="11">
        <v>0</v>
      </c>
      <c r="AP115" s="11">
        <v>0</v>
      </c>
      <c r="AQ115" s="11">
        <v>0</v>
      </c>
      <c r="AR115" s="11">
        <v>500</v>
      </c>
      <c r="AS115" s="11">
        <v>0</v>
      </c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>
        <v>16</v>
      </c>
      <c r="BV115" s="53">
        <v>1600</v>
      </c>
      <c r="BW115" s="53"/>
      <c r="BX115" s="53"/>
      <c r="BY115" s="11">
        <v>6</v>
      </c>
      <c r="BZ115" s="53">
        <v>900</v>
      </c>
      <c r="CA115" s="11">
        <v>0</v>
      </c>
      <c r="CB115" s="53">
        <v>0</v>
      </c>
      <c r="CC115" s="53"/>
      <c r="CD115" s="53"/>
      <c r="CE115" s="11">
        <v>0</v>
      </c>
      <c r="CF115" s="53">
        <v>0</v>
      </c>
      <c r="CG115" s="43">
        <v>8125</v>
      </c>
      <c r="CH115" s="11">
        <v>9735.92</v>
      </c>
      <c r="CI115" s="94">
        <v>0</v>
      </c>
      <c r="CJ115" s="11">
        <v>0</v>
      </c>
      <c r="CK115" s="13"/>
      <c r="CL115" s="13">
        <v>28660.92</v>
      </c>
      <c r="CM115" s="11"/>
      <c r="CN115" s="11"/>
      <c r="CO115" s="14">
        <v>324</v>
      </c>
      <c r="CP115" s="14"/>
      <c r="CQ115" s="14"/>
      <c r="CR115" s="94"/>
      <c r="CS115" s="94"/>
      <c r="CT115" s="11">
        <v>0</v>
      </c>
      <c r="CU115" s="11"/>
      <c r="CV115" s="11">
        <v>0</v>
      </c>
      <c r="CW115" s="11"/>
      <c r="CX115" s="11"/>
      <c r="CY115" s="11">
        <v>0</v>
      </c>
      <c r="CZ115" s="95">
        <f t="shared" si="8"/>
        <v>324</v>
      </c>
      <c r="DA115" s="13">
        <f t="shared" si="9"/>
        <v>28336.92</v>
      </c>
      <c r="DB115" s="61">
        <v>28933.72</v>
      </c>
      <c r="DC115" s="61">
        <v>28660.92</v>
      </c>
      <c r="DD115" s="61"/>
      <c r="DE115" s="61"/>
      <c r="DF115" s="61"/>
      <c r="DG115" s="61"/>
      <c r="DH115" s="61"/>
      <c r="DI115" s="61"/>
      <c r="DJ115" s="61"/>
      <c r="DK115" s="61"/>
      <c r="DL115" s="61"/>
      <c r="DM115" s="62"/>
      <c r="DN115" s="15">
        <v>57594.64</v>
      </c>
      <c r="DO115" s="16">
        <v>-31750.68</v>
      </c>
      <c r="DP115" s="17">
        <v>0</v>
      </c>
      <c r="DQ115" s="61">
        <v>224</v>
      </c>
      <c r="DR115" s="61">
        <v>324</v>
      </c>
      <c r="DS115" s="61"/>
      <c r="DT115" s="61"/>
      <c r="DU115" s="61"/>
      <c r="DV115" s="61"/>
      <c r="DW115" s="61"/>
      <c r="DX115" s="61"/>
      <c r="DY115" s="61"/>
      <c r="DZ115" s="61"/>
      <c r="EA115" s="61"/>
      <c r="EB115" s="14"/>
      <c r="EC115" s="15">
        <f t="shared" si="10"/>
        <v>548</v>
      </c>
      <c r="ED115" s="11">
        <f>CP115</f>
        <v>0</v>
      </c>
      <c r="EE115" s="61"/>
      <c r="EF115" s="61"/>
      <c r="EG115" s="61"/>
      <c r="EH115" s="61"/>
      <c r="EI115" s="61"/>
      <c r="EJ115" s="61"/>
      <c r="EK115" s="61"/>
      <c r="EL115" s="61"/>
      <c r="EM115" s="61"/>
      <c r="EN115" s="61"/>
      <c r="EO115" s="14"/>
      <c r="EP115" s="15">
        <f t="shared" si="11"/>
        <v>0</v>
      </c>
    </row>
    <row r="116" spans="1:146" s="18" customFormat="1" ht="35" customHeight="1">
      <c r="A116" s="4">
        <v>98</v>
      </c>
      <c r="B116" s="59" t="s">
        <v>487</v>
      </c>
      <c r="C116" s="219" t="s">
        <v>392</v>
      </c>
      <c r="D116" s="7">
        <v>1449900486952</v>
      </c>
      <c r="E116" s="7" t="s">
        <v>393</v>
      </c>
      <c r="F116" s="8" t="s">
        <v>34</v>
      </c>
      <c r="G116" s="9">
        <v>45036</v>
      </c>
      <c r="H116" s="10" t="s">
        <v>76</v>
      </c>
      <c r="I116" s="11">
        <v>400</v>
      </c>
      <c r="J116" s="11">
        <v>25</v>
      </c>
      <c r="K116" s="11">
        <v>10000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>
        <v>8</v>
      </c>
      <c r="W116" s="11">
        <v>400</v>
      </c>
      <c r="X116" s="11">
        <v>0</v>
      </c>
      <c r="Y116" s="11">
        <v>0</v>
      </c>
      <c r="Z116" s="11">
        <v>0</v>
      </c>
      <c r="AA116" s="11">
        <v>0</v>
      </c>
      <c r="AB116" s="11">
        <v>8</v>
      </c>
      <c r="AC116" s="11">
        <v>0</v>
      </c>
      <c r="AD116" s="12">
        <v>0</v>
      </c>
      <c r="AE116" s="11">
        <v>400</v>
      </c>
      <c r="AF116" s="11">
        <v>10800</v>
      </c>
      <c r="AG116" s="11">
        <v>1300</v>
      </c>
      <c r="AH116" s="11">
        <v>1890</v>
      </c>
      <c r="AI116" s="11">
        <v>1215</v>
      </c>
      <c r="AJ116" s="11">
        <v>1200</v>
      </c>
      <c r="AK116" s="11">
        <v>1890</v>
      </c>
      <c r="AL116" s="94">
        <v>0</v>
      </c>
      <c r="AM116" s="11">
        <v>940.92</v>
      </c>
      <c r="AN116" s="11">
        <v>0</v>
      </c>
      <c r="AO116" s="11">
        <v>0</v>
      </c>
      <c r="AP116" s="11">
        <v>0</v>
      </c>
      <c r="AQ116" s="11">
        <v>0</v>
      </c>
      <c r="AR116" s="11">
        <v>500</v>
      </c>
      <c r="AS116" s="11">
        <v>0</v>
      </c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>
        <v>16</v>
      </c>
      <c r="BV116" s="53">
        <v>1600</v>
      </c>
      <c r="BW116" s="53"/>
      <c r="BX116" s="53"/>
      <c r="BY116" s="11">
        <v>6</v>
      </c>
      <c r="BZ116" s="53">
        <v>900</v>
      </c>
      <c r="CA116" s="11">
        <v>0</v>
      </c>
      <c r="CB116" s="53">
        <v>0</v>
      </c>
      <c r="CC116" s="53"/>
      <c r="CD116" s="53"/>
      <c r="CE116" s="11">
        <v>0</v>
      </c>
      <c r="CF116" s="53">
        <v>0</v>
      </c>
      <c r="CG116" s="43">
        <v>8125</v>
      </c>
      <c r="CH116" s="11">
        <v>9735.92</v>
      </c>
      <c r="CI116" s="94">
        <v>0</v>
      </c>
      <c r="CJ116" s="11">
        <v>0</v>
      </c>
      <c r="CK116" s="13"/>
      <c r="CL116" s="13">
        <v>28660.92</v>
      </c>
      <c r="CM116" s="11"/>
      <c r="CN116" s="11"/>
      <c r="CO116" s="14">
        <v>324</v>
      </c>
      <c r="CP116" s="14"/>
      <c r="CQ116" s="14"/>
      <c r="CR116" s="94"/>
      <c r="CS116" s="94"/>
      <c r="CT116" s="11">
        <v>0</v>
      </c>
      <c r="CU116" s="11"/>
      <c r="CV116" s="11">
        <v>0</v>
      </c>
      <c r="CW116" s="11"/>
      <c r="CX116" s="11"/>
      <c r="CY116" s="11">
        <v>0</v>
      </c>
      <c r="CZ116" s="95">
        <f t="shared" si="8"/>
        <v>324</v>
      </c>
      <c r="DA116" s="13">
        <f t="shared" si="9"/>
        <v>28336.92</v>
      </c>
      <c r="DB116" s="61">
        <v>28933.72</v>
      </c>
      <c r="DC116" s="61">
        <v>28660.92</v>
      </c>
      <c r="DD116" s="61"/>
      <c r="DE116" s="61"/>
      <c r="DF116" s="61"/>
      <c r="DG116" s="61"/>
      <c r="DH116" s="61"/>
      <c r="DI116" s="61"/>
      <c r="DJ116" s="61"/>
      <c r="DK116" s="61"/>
      <c r="DL116" s="61"/>
      <c r="DM116" s="62"/>
      <c r="DN116" s="15">
        <v>57594.64</v>
      </c>
      <c r="DO116" s="16">
        <v>-31750.68</v>
      </c>
      <c r="DP116" s="17">
        <v>0</v>
      </c>
      <c r="DQ116" s="61">
        <v>224</v>
      </c>
      <c r="DR116" s="61">
        <v>324</v>
      </c>
      <c r="DS116" s="61"/>
      <c r="DT116" s="61"/>
      <c r="DU116" s="61"/>
      <c r="DV116" s="61"/>
      <c r="DW116" s="61"/>
      <c r="DX116" s="61"/>
      <c r="DY116" s="61"/>
      <c r="DZ116" s="61"/>
      <c r="EA116" s="61"/>
      <c r="EB116" s="14"/>
      <c r="EC116" s="15">
        <f t="shared" si="10"/>
        <v>548</v>
      </c>
      <c r="ED116" s="11">
        <f>CP116</f>
        <v>0</v>
      </c>
      <c r="EE116" s="61"/>
      <c r="EF116" s="61"/>
      <c r="EG116" s="61"/>
      <c r="EH116" s="61"/>
      <c r="EI116" s="61"/>
      <c r="EJ116" s="61"/>
      <c r="EK116" s="61"/>
      <c r="EL116" s="61"/>
      <c r="EM116" s="61"/>
      <c r="EN116" s="61"/>
      <c r="EO116" s="14"/>
      <c r="EP116" s="15">
        <f t="shared" si="11"/>
        <v>0</v>
      </c>
    </row>
    <row r="117" spans="1:146" s="18" customFormat="1" ht="35" customHeight="1">
      <c r="A117" s="4">
        <v>99</v>
      </c>
      <c r="B117" s="59" t="s">
        <v>488</v>
      </c>
      <c r="C117" s="219" t="s">
        <v>394</v>
      </c>
      <c r="D117" s="7">
        <v>1449900486953</v>
      </c>
      <c r="E117" s="7" t="s">
        <v>395</v>
      </c>
      <c r="F117" s="8" t="s">
        <v>34</v>
      </c>
      <c r="G117" s="9">
        <v>45037</v>
      </c>
      <c r="H117" s="10" t="s">
        <v>76</v>
      </c>
      <c r="I117" s="11">
        <v>400</v>
      </c>
      <c r="J117" s="11">
        <v>25</v>
      </c>
      <c r="K117" s="11">
        <v>10000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>
        <v>8</v>
      </c>
      <c r="W117" s="11">
        <v>400</v>
      </c>
      <c r="X117" s="11">
        <v>0</v>
      </c>
      <c r="Y117" s="11">
        <v>0</v>
      </c>
      <c r="Z117" s="11">
        <v>0</v>
      </c>
      <c r="AA117" s="11">
        <v>0</v>
      </c>
      <c r="AB117" s="11">
        <v>8</v>
      </c>
      <c r="AC117" s="11">
        <v>0</v>
      </c>
      <c r="AD117" s="12">
        <v>0</v>
      </c>
      <c r="AE117" s="11">
        <v>400</v>
      </c>
      <c r="AF117" s="11">
        <v>10800</v>
      </c>
      <c r="AG117" s="11">
        <v>1300</v>
      </c>
      <c r="AH117" s="11">
        <v>1890</v>
      </c>
      <c r="AI117" s="11">
        <v>1215</v>
      </c>
      <c r="AJ117" s="11">
        <v>1200</v>
      </c>
      <c r="AK117" s="11">
        <v>1890</v>
      </c>
      <c r="AL117" s="94">
        <v>0</v>
      </c>
      <c r="AM117" s="11">
        <v>940.92</v>
      </c>
      <c r="AN117" s="11">
        <v>0</v>
      </c>
      <c r="AO117" s="11">
        <v>0</v>
      </c>
      <c r="AP117" s="11">
        <v>0</v>
      </c>
      <c r="AQ117" s="11">
        <v>0</v>
      </c>
      <c r="AR117" s="11">
        <v>500</v>
      </c>
      <c r="AS117" s="11">
        <v>0</v>
      </c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>
        <v>16</v>
      </c>
      <c r="BV117" s="53">
        <v>1600</v>
      </c>
      <c r="BW117" s="53"/>
      <c r="BX117" s="53"/>
      <c r="BY117" s="11">
        <v>6</v>
      </c>
      <c r="BZ117" s="53">
        <v>900</v>
      </c>
      <c r="CA117" s="11">
        <v>0</v>
      </c>
      <c r="CB117" s="53">
        <v>0</v>
      </c>
      <c r="CC117" s="53"/>
      <c r="CD117" s="53"/>
      <c r="CE117" s="11">
        <v>0</v>
      </c>
      <c r="CF117" s="53">
        <v>0</v>
      </c>
      <c r="CG117" s="43">
        <v>8125</v>
      </c>
      <c r="CH117" s="11">
        <v>9735.92</v>
      </c>
      <c r="CI117" s="94">
        <v>0</v>
      </c>
      <c r="CJ117" s="11">
        <v>0</v>
      </c>
      <c r="CK117" s="13"/>
      <c r="CL117" s="13">
        <v>28660.92</v>
      </c>
      <c r="CM117" s="11"/>
      <c r="CN117" s="11"/>
      <c r="CO117" s="14">
        <v>324</v>
      </c>
      <c r="CP117" s="14"/>
      <c r="CQ117" s="14"/>
      <c r="CR117" s="94"/>
      <c r="CS117" s="94"/>
      <c r="CT117" s="11">
        <v>0</v>
      </c>
      <c r="CU117" s="11"/>
      <c r="CV117" s="11">
        <v>0</v>
      </c>
      <c r="CW117" s="11"/>
      <c r="CX117" s="11"/>
      <c r="CY117" s="11">
        <v>0</v>
      </c>
      <c r="CZ117" s="95">
        <f t="shared" si="8"/>
        <v>324</v>
      </c>
      <c r="DA117" s="13">
        <f t="shared" si="9"/>
        <v>28336.92</v>
      </c>
      <c r="DB117" s="61">
        <v>28933.72</v>
      </c>
      <c r="DC117" s="61">
        <v>28660.92</v>
      </c>
      <c r="DD117" s="61"/>
      <c r="DE117" s="61"/>
      <c r="DF117" s="61"/>
      <c r="DG117" s="61"/>
      <c r="DH117" s="61"/>
      <c r="DI117" s="61"/>
      <c r="DJ117" s="61"/>
      <c r="DK117" s="61"/>
      <c r="DL117" s="61"/>
      <c r="DM117" s="62"/>
      <c r="DN117" s="15">
        <v>57594.64</v>
      </c>
      <c r="DO117" s="16">
        <v>-31750.68</v>
      </c>
      <c r="DP117" s="17">
        <v>0</v>
      </c>
      <c r="DQ117" s="61">
        <v>224</v>
      </c>
      <c r="DR117" s="61">
        <v>324</v>
      </c>
      <c r="DS117" s="61"/>
      <c r="DT117" s="61"/>
      <c r="DU117" s="61"/>
      <c r="DV117" s="61"/>
      <c r="DW117" s="61"/>
      <c r="DX117" s="61"/>
      <c r="DY117" s="61"/>
      <c r="DZ117" s="61"/>
      <c r="EA117" s="61"/>
      <c r="EB117" s="14"/>
      <c r="EC117" s="15">
        <f t="shared" si="10"/>
        <v>548</v>
      </c>
      <c r="ED117" s="11">
        <f>CP117</f>
        <v>0</v>
      </c>
      <c r="EE117" s="61"/>
      <c r="EF117" s="61"/>
      <c r="EG117" s="61"/>
      <c r="EH117" s="61"/>
      <c r="EI117" s="61"/>
      <c r="EJ117" s="61"/>
      <c r="EK117" s="61"/>
      <c r="EL117" s="61"/>
      <c r="EM117" s="61"/>
      <c r="EN117" s="61"/>
      <c r="EO117" s="14"/>
      <c r="EP117" s="15">
        <f t="shared" si="11"/>
        <v>0</v>
      </c>
    </row>
    <row r="118" spans="1:146" s="18" customFormat="1" ht="35" customHeight="1">
      <c r="A118" s="4">
        <v>100</v>
      </c>
      <c r="B118" s="59" t="s">
        <v>489</v>
      </c>
      <c r="C118" s="219" t="s">
        <v>396</v>
      </c>
      <c r="D118" s="7">
        <v>1449900486954</v>
      </c>
      <c r="E118" s="7" t="s">
        <v>397</v>
      </c>
      <c r="F118" s="8" t="s">
        <v>34</v>
      </c>
      <c r="G118" s="9">
        <v>45038</v>
      </c>
      <c r="H118" s="10" t="s">
        <v>76</v>
      </c>
      <c r="I118" s="11">
        <v>400</v>
      </c>
      <c r="J118" s="11">
        <v>25</v>
      </c>
      <c r="K118" s="11">
        <v>10000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>
        <v>8</v>
      </c>
      <c r="W118" s="11">
        <v>400</v>
      </c>
      <c r="X118" s="11">
        <v>0</v>
      </c>
      <c r="Y118" s="11">
        <v>0</v>
      </c>
      <c r="Z118" s="11">
        <v>0</v>
      </c>
      <c r="AA118" s="11">
        <v>0</v>
      </c>
      <c r="AB118" s="11">
        <v>8</v>
      </c>
      <c r="AC118" s="11">
        <v>0</v>
      </c>
      <c r="AD118" s="12">
        <v>0</v>
      </c>
      <c r="AE118" s="11">
        <v>400</v>
      </c>
      <c r="AF118" s="11">
        <v>10800</v>
      </c>
      <c r="AG118" s="11">
        <v>1300</v>
      </c>
      <c r="AH118" s="11">
        <v>1890</v>
      </c>
      <c r="AI118" s="11">
        <v>1215</v>
      </c>
      <c r="AJ118" s="11">
        <v>1200</v>
      </c>
      <c r="AK118" s="11">
        <v>1890</v>
      </c>
      <c r="AL118" s="94">
        <v>0</v>
      </c>
      <c r="AM118" s="11">
        <v>940.92</v>
      </c>
      <c r="AN118" s="11">
        <v>0</v>
      </c>
      <c r="AO118" s="11">
        <v>0</v>
      </c>
      <c r="AP118" s="11">
        <v>0</v>
      </c>
      <c r="AQ118" s="11">
        <v>0</v>
      </c>
      <c r="AR118" s="11">
        <v>500</v>
      </c>
      <c r="AS118" s="11">
        <v>0</v>
      </c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>
        <v>16</v>
      </c>
      <c r="BV118" s="53">
        <v>1600</v>
      </c>
      <c r="BW118" s="53"/>
      <c r="BX118" s="53"/>
      <c r="BY118" s="11">
        <v>6</v>
      </c>
      <c r="BZ118" s="53">
        <v>900</v>
      </c>
      <c r="CA118" s="11">
        <v>0</v>
      </c>
      <c r="CB118" s="53">
        <v>0</v>
      </c>
      <c r="CC118" s="53"/>
      <c r="CD118" s="53"/>
      <c r="CE118" s="11">
        <v>0</v>
      </c>
      <c r="CF118" s="53">
        <v>0</v>
      </c>
      <c r="CG118" s="43">
        <v>8125</v>
      </c>
      <c r="CH118" s="11">
        <v>9735.92</v>
      </c>
      <c r="CI118" s="94">
        <v>0</v>
      </c>
      <c r="CJ118" s="11">
        <v>0</v>
      </c>
      <c r="CK118" s="13"/>
      <c r="CL118" s="13">
        <v>28660.92</v>
      </c>
      <c r="CM118" s="11"/>
      <c r="CN118" s="11"/>
      <c r="CO118" s="14">
        <v>324</v>
      </c>
      <c r="CP118" s="14"/>
      <c r="CQ118" s="14"/>
      <c r="CR118" s="94"/>
      <c r="CS118" s="94"/>
      <c r="CT118" s="11">
        <v>0</v>
      </c>
      <c r="CU118" s="11"/>
      <c r="CV118" s="11">
        <v>0</v>
      </c>
      <c r="CW118" s="11"/>
      <c r="CX118" s="11"/>
      <c r="CY118" s="11">
        <v>0</v>
      </c>
      <c r="CZ118" s="95">
        <f t="shared" si="8"/>
        <v>324</v>
      </c>
      <c r="DA118" s="13">
        <f t="shared" si="9"/>
        <v>28336.92</v>
      </c>
      <c r="DB118" s="61">
        <v>28933.72</v>
      </c>
      <c r="DC118" s="61">
        <v>28660.92</v>
      </c>
      <c r="DD118" s="61"/>
      <c r="DE118" s="61"/>
      <c r="DF118" s="61"/>
      <c r="DG118" s="61"/>
      <c r="DH118" s="61"/>
      <c r="DI118" s="61"/>
      <c r="DJ118" s="61"/>
      <c r="DK118" s="61"/>
      <c r="DL118" s="61"/>
      <c r="DM118" s="62"/>
      <c r="DN118" s="15">
        <v>57594.64</v>
      </c>
      <c r="DO118" s="16">
        <v>-31750.68</v>
      </c>
      <c r="DP118" s="17">
        <v>0</v>
      </c>
      <c r="DQ118" s="61">
        <v>224</v>
      </c>
      <c r="DR118" s="61">
        <v>324</v>
      </c>
      <c r="DS118" s="61"/>
      <c r="DT118" s="61"/>
      <c r="DU118" s="61"/>
      <c r="DV118" s="61"/>
      <c r="DW118" s="61"/>
      <c r="DX118" s="61"/>
      <c r="DY118" s="61"/>
      <c r="DZ118" s="61"/>
      <c r="EA118" s="61"/>
      <c r="EB118" s="14"/>
      <c r="EC118" s="15">
        <f t="shared" si="10"/>
        <v>548</v>
      </c>
      <c r="ED118" s="11">
        <f>CP118</f>
        <v>0</v>
      </c>
      <c r="EE118" s="61"/>
      <c r="EF118" s="61"/>
      <c r="EG118" s="61"/>
      <c r="EH118" s="61"/>
      <c r="EI118" s="61"/>
      <c r="EJ118" s="61"/>
      <c r="EK118" s="61"/>
      <c r="EL118" s="61"/>
      <c r="EM118" s="61"/>
      <c r="EN118" s="61"/>
      <c r="EO118" s="14"/>
      <c r="EP118" s="15">
        <f t="shared" si="11"/>
        <v>0</v>
      </c>
    </row>
    <row r="119" spans="1:146" s="58" customFormat="1" ht="34.25" customHeight="1">
      <c r="A119" s="54" t="s">
        <v>17</v>
      </c>
      <c r="B119" s="55"/>
      <c r="C119" s="55"/>
      <c r="D119" s="55"/>
      <c r="E119" s="55"/>
      <c r="F119" s="55"/>
      <c r="G119" s="55"/>
      <c r="H119" s="56"/>
      <c r="I119" s="57">
        <f t="shared" ref="I119" si="12">SUM(I19:I118)</f>
        <v>40000</v>
      </c>
      <c r="J119" s="57">
        <f t="shared" ref="J119" si="13">SUM(J19:J118)</f>
        <v>2497</v>
      </c>
      <c r="K119" s="57">
        <f t="shared" ref="K119" si="14">SUM(K19:K118)</f>
        <v>998800</v>
      </c>
      <c r="L119" s="57">
        <f t="shared" ref="L119" si="15">SUM(L19:L118)</f>
        <v>28</v>
      </c>
      <c r="M119" s="57">
        <f t="shared" ref="M119" si="16">SUM(M19:M118)</f>
        <v>0</v>
      </c>
      <c r="N119" s="57">
        <f t="shared" ref="N119" si="17">SUM(N19:N118)</f>
        <v>5</v>
      </c>
      <c r="O119" s="57">
        <f t="shared" ref="O119" si="18">SUM(O19:O118)</f>
        <v>0</v>
      </c>
      <c r="P119" s="57">
        <f t="shared" ref="P119" si="19">SUM(P19:P118)</f>
        <v>2</v>
      </c>
      <c r="Q119" s="57">
        <f t="shared" ref="Q119" si="20">SUM(Q19:Q118)</f>
        <v>700</v>
      </c>
      <c r="R119" s="57">
        <f t="shared" ref="R119" si="21">SUM(R19:R118)</f>
        <v>8</v>
      </c>
      <c r="S119" s="57">
        <f t="shared" ref="S119" si="22">SUM(S19:S118)</f>
        <v>150</v>
      </c>
      <c r="T119" s="57">
        <f t="shared" ref="T119:U119" si="23">SUM(T19:T118)</f>
        <v>3</v>
      </c>
      <c r="U119" s="57">
        <f t="shared" si="23"/>
        <v>300</v>
      </c>
      <c r="V119" s="57">
        <f t="shared" ref="V119" si="24">SUM(V19:V118)</f>
        <v>800</v>
      </c>
      <c r="W119" s="57">
        <f t="shared" ref="W119" si="25">SUM(W19:W118)</f>
        <v>40000</v>
      </c>
      <c r="X119" s="57">
        <f t="shared" ref="X119" si="26">SUM(X19:X118)</f>
        <v>9</v>
      </c>
      <c r="Y119" s="57">
        <f t="shared" ref="Y119" si="27">SUM(Y19:Y118)</f>
        <v>2</v>
      </c>
      <c r="Z119" s="57">
        <f t="shared" ref="Z119" si="28">SUM(Z19:Z118)</f>
        <v>3</v>
      </c>
      <c r="AA119" s="57">
        <f t="shared" ref="AA119" si="29">SUM(AA19:AA118)</f>
        <v>4</v>
      </c>
      <c r="AB119" s="57">
        <f t="shared" ref="AB119" si="30">SUM(AB19:AB118)</f>
        <v>781</v>
      </c>
      <c r="AC119" s="57">
        <f t="shared" ref="AC119" si="31">SUM(AC19:AC118)</f>
        <v>6</v>
      </c>
      <c r="AD119" s="57">
        <f t="shared" ref="AD119" si="32">SUM(AD19:AD118)</f>
        <v>7</v>
      </c>
      <c r="AE119" s="57">
        <f t="shared" ref="AE119" si="33">SUM(AE19:AE118)</f>
        <v>39200</v>
      </c>
      <c r="AF119" s="57">
        <f t="shared" ref="AF119" si="34">SUM(AF19:AF118)</f>
        <v>1077600</v>
      </c>
      <c r="AG119" s="57">
        <f t="shared" ref="AG119" si="35">SUM(AG19:AG118)</f>
        <v>130000</v>
      </c>
      <c r="AH119" s="57">
        <f t="shared" ref="AH119" si="36">SUM(AH19:AH118)</f>
        <v>188280</v>
      </c>
      <c r="AI119" s="57">
        <f t="shared" ref="AI119" si="37">SUM(AI19:AI118)</f>
        <v>121025</v>
      </c>
      <c r="AJ119" s="57">
        <f t="shared" ref="AJ119" si="38">SUM(AJ19:AJ118)</f>
        <v>120400</v>
      </c>
      <c r="AK119" s="57">
        <f t="shared" ref="AK119" si="39">SUM(AK19:AK118)</f>
        <v>188280</v>
      </c>
      <c r="AL119" s="57">
        <f t="shared" ref="AL119" si="40">SUM(AL19:AL118)</f>
        <v>2750</v>
      </c>
      <c r="AM119" s="57">
        <f t="shared" ref="AM119" si="41">SUM(AM19:AM118)</f>
        <v>95462.159999999858</v>
      </c>
      <c r="AN119" s="57">
        <f t="shared" ref="AN119" si="42">SUM(AN19:AN118)</f>
        <v>6675</v>
      </c>
      <c r="AO119" s="57">
        <f t="shared" ref="AO119" si="43">SUM(AO19:AO118)</f>
        <v>1500</v>
      </c>
      <c r="AP119" s="57">
        <f t="shared" ref="AP119" si="44">SUM(AP19:AP118)</f>
        <v>4000</v>
      </c>
      <c r="AQ119" s="57">
        <f t="shared" ref="AQ119" si="45">SUM(AQ19:AQ118)</f>
        <v>2000</v>
      </c>
      <c r="AR119" s="57">
        <f t="shared" ref="AR119" si="46">SUM(AR19:AR118)</f>
        <v>50000</v>
      </c>
      <c r="AS119" s="57">
        <f t="shared" ref="AS119" si="47">SUM(AS19:AS118)</f>
        <v>1351.04</v>
      </c>
      <c r="AT119" s="57">
        <f t="shared" ref="AT119" si="48">SUM(AT19:AT118)</f>
        <v>2</v>
      </c>
      <c r="AU119" s="57">
        <f t="shared" ref="AU119" si="49">SUM(AU19:AU118)</f>
        <v>3</v>
      </c>
      <c r="AV119" s="57">
        <f t="shared" ref="AV119" si="50">SUM(AV19:AV118)</f>
        <v>4</v>
      </c>
      <c r="AW119" s="57">
        <f t="shared" ref="AW119" si="51">SUM(AW19:AW118)</f>
        <v>5</v>
      </c>
      <c r="AX119" s="57">
        <f t="shared" ref="AX119" si="52">SUM(AX19:AX118)</f>
        <v>6</v>
      </c>
      <c r="AY119" s="57">
        <f t="shared" ref="AY119" si="53">SUM(AY19:AY118)</f>
        <v>7</v>
      </c>
      <c r="AZ119" s="57">
        <f t="shared" ref="AZ119" si="54">SUM(AZ19:AZ118)</f>
        <v>8</v>
      </c>
      <c r="BA119" s="57">
        <f t="shared" ref="BA119" si="55">SUM(BA19:BA118)</f>
        <v>9</v>
      </c>
      <c r="BB119" s="57">
        <f t="shared" ref="BB119" si="56">SUM(BB19:BB118)</f>
        <v>10</v>
      </c>
      <c r="BC119" s="57">
        <f t="shared" ref="BC119" si="57">SUM(BC19:BC118)</f>
        <v>11</v>
      </c>
      <c r="BD119" s="57">
        <f t="shared" ref="BD119" si="58">SUM(BD19:BD118)</f>
        <v>12</v>
      </c>
      <c r="BE119" s="57">
        <f t="shared" ref="BE119" si="59">SUM(BE19:BE118)</f>
        <v>13</v>
      </c>
      <c r="BF119" s="57">
        <f t="shared" ref="BF119" si="60">SUM(BF19:BF118)</f>
        <v>14</v>
      </c>
      <c r="BG119" s="57">
        <f t="shared" ref="BG119" si="61">SUM(BG19:BG118)</f>
        <v>15</v>
      </c>
      <c r="BH119" s="57">
        <f t="shared" ref="BH119" si="62">SUM(BH19:BH118)</f>
        <v>16</v>
      </c>
      <c r="BI119" s="57">
        <f t="shared" ref="BI119" si="63">SUM(BI19:BI118)</f>
        <v>17</v>
      </c>
      <c r="BJ119" s="57">
        <f t="shared" ref="BJ119:BK119" si="64">SUM(BJ19:BJ118)</f>
        <v>18</v>
      </c>
      <c r="BK119" s="57">
        <f t="shared" si="64"/>
        <v>19</v>
      </c>
      <c r="BL119" s="57">
        <f t="shared" ref="BL119" si="65">SUM(BL19:BL118)</f>
        <v>820</v>
      </c>
      <c r="BM119" s="57">
        <f t="shared" ref="BM119" si="66">SUM(BM19:BM118)</f>
        <v>1</v>
      </c>
      <c r="BN119" s="57">
        <f t="shared" ref="BN119" si="67">SUM(BN19:BN118)</f>
        <v>100</v>
      </c>
      <c r="BO119" s="57">
        <f t="shared" ref="BO119" si="68">SUM(BO19:BO118)</f>
        <v>1</v>
      </c>
      <c r="BP119" s="57">
        <f t="shared" ref="BP119" si="69">SUM(BP19:BP118)</f>
        <v>100</v>
      </c>
      <c r="BQ119" s="57">
        <f t="shared" ref="BQ119" si="70">SUM(BQ19:BQ118)</f>
        <v>1</v>
      </c>
      <c r="BR119" s="57">
        <f t="shared" ref="BR119" si="71">SUM(BR19:BR118)</f>
        <v>100</v>
      </c>
      <c r="BS119" s="57">
        <f t="shared" ref="BS119" si="72">SUM(BS19:BS118)</f>
        <v>1</v>
      </c>
      <c r="BT119" s="57">
        <f t="shared" ref="BT119" si="73">SUM(BT19:BT118)</f>
        <v>100</v>
      </c>
      <c r="BU119" s="57">
        <f t="shared" ref="BU119" si="74">SUM(BU19:BU118)</f>
        <v>1600</v>
      </c>
      <c r="BV119" s="57">
        <f t="shared" ref="BV119" si="75">SUM(BV19:BV118)</f>
        <v>160000</v>
      </c>
      <c r="BW119" s="57">
        <f t="shared" ref="BW119" si="76">SUM(BW19:BW118)</f>
        <v>1</v>
      </c>
      <c r="BX119" s="57">
        <f t="shared" ref="BX119" si="77">SUM(BX19:BX118)</f>
        <v>100</v>
      </c>
      <c r="BY119" s="57">
        <f t="shared" ref="BY119" si="78">SUM(BY19:BY118)</f>
        <v>600</v>
      </c>
      <c r="BZ119" s="57">
        <f t="shared" ref="BZ119" si="79">SUM(BZ19:BZ118)</f>
        <v>90000</v>
      </c>
      <c r="CA119" s="57">
        <f t="shared" ref="CA119" si="80">SUM(CA19:CA118)</f>
        <v>1</v>
      </c>
      <c r="CB119" s="57">
        <f t="shared" ref="CB119" si="81">SUM(CB19:CB118)</f>
        <v>100</v>
      </c>
      <c r="CC119" s="57">
        <f t="shared" ref="CC119" si="82">SUM(CC19:CC118)</f>
        <v>1</v>
      </c>
      <c r="CD119" s="57">
        <f t="shared" ref="CD119" si="83">SUM(CD19:CD118)</f>
        <v>100</v>
      </c>
      <c r="CE119" s="57">
        <f t="shared" ref="CE119" si="84">SUM(CE19:CE118)</f>
        <v>1</v>
      </c>
      <c r="CF119" s="57">
        <f t="shared" ref="CF119" si="85">SUM(CF19:CF118)</f>
        <v>100</v>
      </c>
      <c r="CG119" s="57">
        <f t="shared" ref="CG119" si="86">SUM(CG19:CG118)</f>
        <v>811375</v>
      </c>
      <c r="CH119" s="57">
        <f t="shared" ref="CH119" si="87">SUM(CH19:CH118)</f>
        <v>980422.2000000017</v>
      </c>
      <c r="CI119" s="57">
        <f t="shared" ref="CI119" si="88">SUM(CI19:CI118)</f>
        <v>0</v>
      </c>
      <c r="CJ119" s="57">
        <f t="shared" ref="CJ119" si="89">SUM(CJ19:CJ118)</f>
        <v>0</v>
      </c>
      <c r="CK119" s="57">
        <f t="shared" ref="CK119" si="90">SUM(CK19:CK118)</f>
        <v>0</v>
      </c>
      <c r="CL119" s="57">
        <f t="shared" ref="CL119" si="91">SUM(CL19:CL118)</f>
        <v>2869397.199999996</v>
      </c>
      <c r="CM119" s="57">
        <f t="shared" ref="CM119" si="92">SUM(CM19:CM118)</f>
        <v>1</v>
      </c>
      <c r="CN119" s="57">
        <f t="shared" ref="CN119" si="93">SUM(CN19:CN118)</f>
        <v>2</v>
      </c>
      <c r="CO119" s="57">
        <f t="shared" ref="CO119" si="94">SUM(CO19:CO118)</f>
        <v>32328</v>
      </c>
      <c r="CP119" s="57">
        <f t="shared" ref="CP119" si="95">SUM(CP19:CP118)</f>
        <v>3</v>
      </c>
      <c r="CQ119" s="57">
        <f t="shared" ref="CQ119" si="96">SUM(CQ19:CQ118)</f>
        <v>4</v>
      </c>
      <c r="CR119" s="57">
        <f t="shared" ref="CR119" si="97">SUM(CR19:CR118)</f>
        <v>5</v>
      </c>
      <c r="CS119" s="57">
        <f t="shared" ref="CS119" si="98">SUM(CS19:CS118)</f>
        <v>6</v>
      </c>
      <c r="CT119" s="57">
        <f t="shared" ref="CT119" si="99">SUM(CT19:CT118)</f>
        <v>7</v>
      </c>
      <c r="CU119" s="57">
        <f t="shared" ref="CU119" si="100">SUM(CU19:CU118)</f>
        <v>8</v>
      </c>
      <c r="CV119" s="57">
        <f t="shared" ref="CV119" si="101">SUM(CV19:CV118)</f>
        <v>9</v>
      </c>
      <c r="CW119" s="57">
        <f t="shared" ref="CW119" si="102">SUM(CW19:CW118)</f>
        <v>10</v>
      </c>
      <c r="CX119" s="57">
        <f t="shared" ref="CX119" si="103">SUM(CX19:CX118)</f>
        <v>147</v>
      </c>
      <c r="CY119" s="57">
        <f t="shared" ref="CY119" si="104">SUM(CY19:CY118)</f>
        <v>12</v>
      </c>
      <c r="CZ119" s="57">
        <f t="shared" ref="CZ119" si="105">SUM(CZ19:CZ118)</f>
        <v>30858</v>
      </c>
      <c r="DA119" s="57">
        <f>SUM(DA19:DA118)</f>
        <v>2836855.199999996</v>
      </c>
      <c r="DB119" s="57">
        <f t="shared" ref="DB119:EP119" si="106">SUM(DB19:DB118)</f>
        <v>2892049.0800000038</v>
      </c>
      <c r="DC119" s="57">
        <f t="shared" si="106"/>
        <v>2869397.199999996</v>
      </c>
      <c r="DD119" s="57">
        <f t="shared" si="106"/>
        <v>0</v>
      </c>
      <c r="DE119" s="57">
        <f t="shared" si="106"/>
        <v>0</v>
      </c>
      <c r="DF119" s="57">
        <f t="shared" si="106"/>
        <v>0</v>
      </c>
      <c r="DG119" s="57">
        <f t="shared" si="106"/>
        <v>0</v>
      </c>
      <c r="DH119" s="57">
        <f t="shared" si="106"/>
        <v>0</v>
      </c>
      <c r="DI119" s="57">
        <f t="shared" si="106"/>
        <v>0</v>
      </c>
      <c r="DJ119" s="57">
        <f t="shared" si="106"/>
        <v>0</v>
      </c>
      <c r="DK119" s="57">
        <f t="shared" si="106"/>
        <v>0</v>
      </c>
      <c r="DL119" s="57">
        <f t="shared" si="106"/>
        <v>0</v>
      </c>
      <c r="DM119" s="57">
        <f t="shared" si="106"/>
        <v>0</v>
      </c>
      <c r="DN119" s="57">
        <f t="shared" si="106"/>
        <v>5761446.2799999937</v>
      </c>
      <c r="DO119" s="57">
        <f t="shared" si="106"/>
        <v>-3174099.8600000041</v>
      </c>
      <c r="DP119" s="57">
        <f t="shared" si="106"/>
        <v>0</v>
      </c>
      <c r="DQ119" s="57">
        <f t="shared" si="106"/>
        <v>22495</v>
      </c>
      <c r="DR119" s="57">
        <f t="shared" si="106"/>
        <v>32328</v>
      </c>
      <c r="DS119" s="57">
        <f t="shared" si="106"/>
        <v>0</v>
      </c>
      <c r="DT119" s="57">
        <f t="shared" si="106"/>
        <v>0</v>
      </c>
      <c r="DU119" s="57">
        <f t="shared" si="106"/>
        <v>0</v>
      </c>
      <c r="DV119" s="57">
        <f t="shared" si="106"/>
        <v>0</v>
      </c>
      <c r="DW119" s="57">
        <f t="shared" si="106"/>
        <v>0</v>
      </c>
      <c r="DX119" s="57">
        <f t="shared" si="106"/>
        <v>0</v>
      </c>
      <c r="DY119" s="57">
        <f t="shared" si="106"/>
        <v>0</v>
      </c>
      <c r="DZ119" s="57">
        <f t="shared" si="106"/>
        <v>0</v>
      </c>
      <c r="EA119" s="57">
        <f t="shared" si="106"/>
        <v>0</v>
      </c>
      <c r="EB119" s="57">
        <f t="shared" si="106"/>
        <v>0</v>
      </c>
      <c r="EC119" s="57">
        <f t="shared" si="106"/>
        <v>54823</v>
      </c>
      <c r="ED119" s="57">
        <f t="shared" si="106"/>
        <v>3</v>
      </c>
      <c r="EE119" s="57">
        <f t="shared" si="106"/>
        <v>0</v>
      </c>
      <c r="EF119" s="57">
        <f t="shared" si="106"/>
        <v>0</v>
      </c>
      <c r="EG119" s="57">
        <f t="shared" si="106"/>
        <v>0</v>
      </c>
      <c r="EH119" s="57">
        <f t="shared" si="106"/>
        <v>0</v>
      </c>
      <c r="EI119" s="57">
        <f t="shared" si="106"/>
        <v>0</v>
      </c>
      <c r="EJ119" s="57">
        <f t="shared" si="106"/>
        <v>0</v>
      </c>
      <c r="EK119" s="57">
        <f t="shared" si="106"/>
        <v>0</v>
      </c>
      <c r="EL119" s="57">
        <f t="shared" si="106"/>
        <v>0</v>
      </c>
      <c r="EM119" s="57">
        <f t="shared" si="106"/>
        <v>0</v>
      </c>
      <c r="EN119" s="57">
        <f t="shared" si="106"/>
        <v>0</v>
      </c>
      <c r="EO119" s="57">
        <f t="shared" si="106"/>
        <v>0</v>
      </c>
      <c r="EP119" s="57">
        <f t="shared" si="106"/>
        <v>3</v>
      </c>
    </row>
  </sheetData>
  <phoneticPr fontId="26"/>
  <conditionalFormatting sqref="A12:B12">
    <cfRule type="duplicateValues" dxfId="13" priority="3"/>
  </conditionalFormatting>
  <conditionalFormatting sqref="B9">
    <cfRule type="duplicateValues" dxfId="12" priority="6"/>
  </conditionalFormatting>
  <conditionalFormatting sqref="B10">
    <cfRule type="duplicateValues" dxfId="11" priority="5"/>
  </conditionalFormatting>
  <conditionalFormatting sqref="B11">
    <cfRule type="duplicateValues" dxfId="10" priority="4"/>
  </conditionalFormatting>
  <conditionalFormatting sqref="B13">
    <cfRule type="duplicateValues" dxfId="9" priority="2"/>
  </conditionalFormatting>
  <conditionalFormatting sqref="B14">
    <cfRule type="duplicateValues" dxfId="8" priority="1"/>
  </conditionalFormatting>
  <conditionalFormatting sqref="B21:C21">
    <cfRule type="duplicateValues" dxfId="7" priority="24"/>
  </conditionalFormatting>
  <conditionalFormatting sqref="C8 A8:A11 C10:C12">
    <cfRule type="duplicateValues" dxfId="6" priority="73"/>
  </conditionalFormatting>
  <conditionalFormatting sqref="C9">
    <cfRule type="duplicateValues" dxfId="5" priority="7"/>
  </conditionalFormatting>
  <conditionalFormatting sqref="D8:D12 F8:F12">
    <cfRule type="duplicateValues" dxfId="4" priority="75"/>
  </conditionalFormatting>
  <conditionalFormatting sqref="D19:D118">
    <cfRule type="duplicateValues" dxfId="3" priority="85"/>
    <cfRule type="duplicateValues" dxfId="2" priority="86"/>
  </conditionalFormatting>
  <conditionalFormatting sqref="F120:F1048576 D1:D7 D16 F1:F7 D120:D1048576 F13:F14 D13:D14 D19:D118">
    <cfRule type="duplicateValues" dxfId="1" priority="12"/>
  </conditionalFormatting>
  <conditionalFormatting sqref="B120:C1048576 B16:C16 B1:C2 C3:C7 A3:A7 B19:C20 A13:A14 C13:C14 B22:C118 B15:EP15">
    <cfRule type="duplicateValues" dxfId="0" priority="87"/>
  </conditionalFormatting>
  <pageMargins left="0.15748031496062992" right="0.70866141732283472" top="0.74803149606299213" bottom="0.31496062992125984" header="0.31496062992125984" footer="0.15748031496062992"/>
  <pageSetup paperSize="9" scale="19" fitToHeight="0" orientation="landscape" verticalDpi="180" r:id="rId1"/>
  <colBreaks count="1" manualBreakCount="1">
    <brk id="95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1FA2-BA50-45DB-993E-68B6FD41ABC8}">
  <sheetPr>
    <tabColor rgb="FFFFCCFF"/>
    <pageSetUpPr fitToPage="1"/>
  </sheetPr>
  <dimension ref="B1:N68"/>
  <sheetViews>
    <sheetView view="pageBreakPreview" topLeftCell="A46" zoomScale="69" zoomScaleNormal="85" zoomScaleSheetLayoutView="69" workbookViewId="0">
      <selection activeCell="E57" sqref="E57"/>
    </sheetView>
  </sheetViews>
  <sheetFormatPr baseColWidth="10" defaultColWidth="9" defaultRowHeight="23"/>
  <cols>
    <col min="1" max="1" width="1" style="64" customWidth="1"/>
    <col min="2" max="2" width="47.5" style="64" customWidth="1"/>
    <col min="3" max="3" width="8.83203125" style="64" customWidth="1"/>
    <col min="4" max="4" width="3.33203125" style="64" customWidth="1"/>
    <col min="5" max="5" width="19.83203125" style="64" customWidth="1"/>
    <col min="6" max="6" width="40.83203125" style="64" customWidth="1"/>
    <col min="7" max="7" width="14" style="64" customWidth="1"/>
    <col min="8" max="8" width="26.6640625" style="64" customWidth="1"/>
    <col min="9" max="9" width="19.5" style="64" customWidth="1"/>
    <col min="10" max="10" width="9" style="64" customWidth="1"/>
    <col min="11" max="11" width="11.33203125" style="64" bestFit="1" customWidth="1"/>
    <col min="12" max="12" width="10.5" style="64" bestFit="1" customWidth="1"/>
    <col min="13" max="21" width="9" style="64"/>
    <col min="22" max="22" width="10.1640625" style="64" customWidth="1"/>
    <col min="23" max="16384" width="9" style="64"/>
  </cols>
  <sheetData>
    <row r="1" spans="2:14" ht="15.75" customHeight="1" thickBot="1">
      <c r="C1" s="77"/>
      <c r="H1" s="79" t="s">
        <v>35</v>
      </c>
      <c r="I1" s="65"/>
    </row>
    <row r="2" spans="2:14" ht="19.5" customHeight="1">
      <c r="C2" s="78"/>
      <c r="H2" s="80" t="s">
        <v>36</v>
      </c>
      <c r="I2" s="83" t="str">
        <f>'Slip April'!C13</f>
        <v xml:space="preserve">  Febuary 2025</v>
      </c>
    </row>
    <row r="3" spans="2:14" ht="15" customHeight="1">
      <c r="C3" s="78"/>
      <c r="H3" s="81" t="s">
        <v>37</v>
      </c>
      <c r="I3" s="217" t="str">
        <f>'Slip April'!C9</f>
        <v xml:space="preserve"> Canadian  ( Phase 3)</v>
      </c>
    </row>
    <row r="4" spans="2:14" ht="15" customHeight="1">
      <c r="H4" s="81" t="s">
        <v>38</v>
      </c>
      <c r="I4" s="84" t="str">
        <f>'Slip April'!B19</f>
        <v>NIP67011</v>
      </c>
    </row>
    <row r="5" spans="2:14" ht="18.75" customHeight="1" thickBot="1">
      <c r="H5" s="82" t="s">
        <v>39</v>
      </c>
      <c r="I5" s="85" t="str">
        <f>VLOOKUP(I4,'Slip April'!B:E,4,0)</f>
        <v>Wafer Production</v>
      </c>
    </row>
    <row r="6" spans="2:14" ht="23.25" customHeight="1">
      <c r="B6" s="76" t="s">
        <v>40</v>
      </c>
      <c r="C6" s="223" t="str">
        <f>VLOOKUP(I4,'Slip April'!B:C,2,0)</f>
        <v>นางสาวฤทัยรัตน์ บุญสม</v>
      </c>
      <c r="D6" s="223"/>
      <c r="E6" s="223"/>
      <c r="F6" s="76" t="s">
        <v>41</v>
      </c>
      <c r="G6" s="75" t="str">
        <f>VLOOKUP(I4,'Slip April'!B:F,5,0)</f>
        <v>Operator</v>
      </c>
      <c r="H6" s="67"/>
      <c r="I6" s="68"/>
    </row>
    <row r="7" spans="2:14" ht="12.75" customHeight="1" thickBot="1"/>
    <row r="8" spans="2:14" ht="17.25" customHeight="1">
      <c r="B8" s="224" t="s">
        <v>42</v>
      </c>
      <c r="C8" s="225"/>
      <c r="D8" s="225"/>
      <c r="E8" s="226"/>
      <c r="F8" s="224" t="s">
        <v>43</v>
      </c>
      <c r="G8" s="225"/>
      <c r="H8" s="101"/>
      <c r="I8" s="102"/>
    </row>
    <row r="9" spans="2:14" ht="18" customHeight="1" thickBot="1">
      <c r="B9" s="227"/>
      <c r="C9" s="228"/>
      <c r="D9" s="228"/>
      <c r="E9" s="229"/>
      <c r="F9" s="227"/>
      <c r="G9" s="228"/>
      <c r="H9" s="103"/>
      <c r="I9" s="104"/>
    </row>
    <row r="10" spans="2:14" s="67" customFormat="1" ht="18.75" customHeight="1">
      <c r="B10" s="197" t="s">
        <v>182</v>
      </c>
      <c r="C10" s="106">
        <f>VLOOKUP(I4,'Slip April'!B:I,8,0)</f>
        <v>400</v>
      </c>
      <c r="D10" s="107" t="s">
        <v>189</v>
      </c>
      <c r="E10" s="108"/>
      <c r="F10" s="105" t="s">
        <v>145</v>
      </c>
      <c r="G10" s="109">
        <f>VLOOKUP(I4,'Slip April'!B:CM,90,0)</f>
        <v>0</v>
      </c>
      <c r="H10" s="230" t="s">
        <v>46</v>
      </c>
      <c r="I10" s="231">
        <f>VLOOKUP(I4,'Slip April'!B:DN,117,0)</f>
        <v>59901.520000000004</v>
      </c>
      <c r="K10" s="110"/>
      <c r="L10" s="111"/>
      <c r="M10" s="110"/>
      <c r="N10" s="112"/>
    </row>
    <row r="11" spans="2:14" s="67" customFormat="1" ht="18.75" customHeight="1">
      <c r="B11" s="198" t="s">
        <v>181</v>
      </c>
      <c r="C11" s="106">
        <f>VLOOKUP(I4,'Slip April'!B:J,9,0)</f>
        <v>26</v>
      </c>
      <c r="D11" s="110" t="s">
        <v>44</v>
      </c>
      <c r="E11" s="108">
        <f>VLOOKUP(I4,'Slip April'!B:M,10,0)</f>
        <v>10400</v>
      </c>
      <c r="F11" s="113" t="s">
        <v>146</v>
      </c>
      <c r="G11" s="109">
        <f>VLOOKUP(I4,'Slip April'!B:CN,91,0)</f>
        <v>0</v>
      </c>
      <c r="H11" s="220"/>
      <c r="I11" s="232"/>
      <c r="K11" s="110"/>
      <c r="L11" s="111"/>
      <c r="M11" s="110"/>
      <c r="N11" s="112"/>
    </row>
    <row r="12" spans="2:14" s="67" customFormat="1" ht="18.75" customHeight="1">
      <c r="B12" s="113" t="s">
        <v>147</v>
      </c>
      <c r="C12" s="106">
        <f>VLOOKUP(I4,'Slip April'!B:L,11,0)</f>
        <v>8</v>
      </c>
      <c r="D12" s="110" t="s">
        <v>48</v>
      </c>
      <c r="E12" s="108">
        <f>VLOOKUP(I4,'Slip April'!B:M,12,0)</f>
        <v>0</v>
      </c>
      <c r="F12" s="113" t="s">
        <v>112</v>
      </c>
      <c r="G12" s="109">
        <f>VLOOKUP(I4,'Slip April'!B:CO,92,0)</f>
        <v>312</v>
      </c>
      <c r="H12" s="220"/>
      <c r="I12" s="232"/>
      <c r="K12" s="110"/>
      <c r="L12" s="111"/>
      <c r="M12" s="110"/>
      <c r="N12" s="112"/>
    </row>
    <row r="13" spans="2:14" s="67" customFormat="1" ht="18.75" customHeight="1">
      <c r="B13" s="113" t="s">
        <v>148</v>
      </c>
      <c r="C13" s="114">
        <f>VLOOKUP(I4,'Slip April'!B:N,13,0)</f>
        <v>2</v>
      </c>
      <c r="D13" s="110" t="s">
        <v>44</v>
      </c>
      <c r="E13" s="108">
        <f>VLOOKUP(I4,'Slip April'!B:O,14,0)</f>
        <v>0</v>
      </c>
      <c r="F13" s="113" t="s">
        <v>190</v>
      </c>
      <c r="G13" s="109">
        <f>VLOOKUP(I4,'Slip April'!B:CP,93,0)</f>
        <v>0</v>
      </c>
      <c r="H13" s="221"/>
      <c r="I13" s="222"/>
      <c r="K13" s="110"/>
      <c r="L13" s="115"/>
      <c r="M13" s="110"/>
      <c r="N13" s="112"/>
    </row>
    <row r="14" spans="2:14" s="67" customFormat="1" ht="18.75" customHeight="1">
      <c r="B14" s="113" t="s">
        <v>149</v>
      </c>
      <c r="C14" s="108"/>
      <c r="D14" s="110"/>
      <c r="E14" s="108">
        <f>VLOOKUP(I4,'Slip April'!B:AE,30,0)</f>
        <v>0</v>
      </c>
      <c r="F14" s="113" t="s">
        <v>113</v>
      </c>
      <c r="G14" s="109">
        <f>VLOOKUP(I4,'Slip April'!B:CR,94,0)</f>
        <v>0</v>
      </c>
      <c r="H14" s="220" t="s">
        <v>47</v>
      </c>
      <c r="I14" s="222">
        <f>VLOOKUP(I4,'Slip April'!B:EC,132,0)</f>
        <v>610</v>
      </c>
      <c r="K14" s="110"/>
      <c r="L14" s="112"/>
      <c r="M14" s="110"/>
      <c r="N14" s="112"/>
    </row>
    <row r="15" spans="2:14" s="67" customFormat="1" ht="18.75" customHeight="1">
      <c r="B15" s="66" t="s">
        <v>151</v>
      </c>
      <c r="C15" s="108">
        <f>VLOOKUP(I4,'Slip April'!B:P,15,0)</f>
        <v>0</v>
      </c>
      <c r="D15" s="110" t="s">
        <v>44</v>
      </c>
      <c r="E15" s="108">
        <f>VLOOKUP(I4,'Slip April'!B:Q,16,0)</f>
        <v>500</v>
      </c>
      <c r="F15" s="113" t="s">
        <v>150</v>
      </c>
      <c r="G15" s="109">
        <f>VLOOKUP(I4,'Slip April'!B:CS,95,0)</f>
        <v>0</v>
      </c>
      <c r="H15" s="220"/>
      <c r="I15" s="222"/>
      <c r="K15" s="110"/>
      <c r="L15" s="112"/>
      <c r="M15" s="110"/>
      <c r="N15" s="112"/>
    </row>
    <row r="16" spans="2:14" s="67" customFormat="1" ht="18.75" customHeight="1">
      <c r="B16" s="66" t="s">
        <v>153</v>
      </c>
      <c r="C16" s="108">
        <f>VLOOKUP(I4,'Slip April'!B:R,17,0)</f>
        <v>5</v>
      </c>
      <c r="D16" s="110" t="s">
        <v>44</v>
      </c>
      <c r="E16" s="108">
        <f>VLOOKUP(I4,'Slip April'!B:S,18,0)</f>
        <v>0</v>
      </c>
      <c r="F16" s="113" t="s">
        <v>152</v>
      </c>
      <c r="G16" s="109">
        <f>VLOOKUP(I4,'Slip April'!B:CT,96,0)</f>
        <v>0</v>
      </c>
      <c r="H16" s="221"/>
      <c r="I16" s="222"/>
      <c r="K16" s="110"/>
      <c r="L16" s="112"/>
      <c r="M16" s="110"/>
      <c r="N16" s="112"/>
    </row>
    <row r="17" spans="2:14" s="67" customFormat="1" ht="18.75" customHeight="1">
      <c r="B17" s="113" t="s">
        <v>155</v>
      </c>
      <c r="C17" s="108">
        <f>VLOOKUP(I4,'Slip April'!B:T,19,0)</f>
        <v>0</v>
      </c>
      <c r="D17" s="110" t="s">
        <v>44</v>
      </c>
      <c r="E17" s="108">
        <f>VLOOKUP(I4,'Slip April'!B:U,20,0)</f>
        <v>0</v>
      </c>
      <c r="F17" s="113" t="s">
        <v>154</v>
      </c>
      <c r="G17" s="109">
        <f>VLOOKUP(I4,'Slip April'!B:CU,97,0)</f>
        <v>0</v>
      </c>
      <c r="H17" s="233" t="s">
        <v>49</v>
      </c>
      <c r="I17" s="235">
        <f>VLOOKUP(I4,'Slip April'!B:DP,119,0)</f>
        <v>0</v>
      </c>
      <c r="K17" s="110"/>
      <c r="L17" s="112"/>
      <c r="M17" s="110"/>
      <c r="N17" s="112"/>
    </row>
    <row r="18" spans="2:14" s="67" customFormat="1" ht="18.75" customHeight="1">
      <c r="B18" s="113" t="s">
        <v>203</v>
      </c>
      <c r="C18" s="216">
        <f>VLOOKUP(I4,'Slip April'!B:V,21,0)</f>
        <v>8</v>
      </c>
      <c r="D18" s="110" t="s">
        <v>44</v>
      </c>
      <c r="E18" s="216">
        <f>VLOOKUP(I4,'Slip April'!B:W,22,0)</f>
        <v>400</v>
      </c>
      <c r="F18" s="113" t="s">
        <v>116</v>
      </c>
      <c r="G18" s="109">
        <f>VLOOKUP(I4,'Slip April'!B:CV,98,0)</f>
        <v>0</v>
      </c>
      <c r="H18" s="234"/>
      <c r="I18" s="236"/>
      <c r="K18" s="110"/>
      <c r="L18" s="112"/>
      <c r="M18" s="110"/>
      <c r="N18" s="112"/>
    </row>
    <row r="19" spans="2:14" s="67" customFormat="1" ht="18.75" customHeight="1">
      <c r="B19" s="113" t="s">
        <v>156</v>
      </c>
      <c r="C19" s="108">
        <f>VLOOKUP(I4,'Slip April'!B:BM,64,0)</f>
        <v>0</v>
      </c>
      <c r="D19" s="110" t="s">
        <v>48</v>
      </c>
      <c r="E19" s="108">
        <f>VLOOKUP(I4,'Slip April'!B:BN,65,0)</f>
        <v>0</v>
      </c>
      <c r="F19" s="113" t="s">
        <v>157</v>
      </c>
      <c r="G19" s="109">
        <f>VLOOKUP(I4,'Slip April'!B:CW,99,0)</f>
        <v>0</v>
      </c>
      <c r="H19" s="220"/>
      <c r="I19" s="232"/>
      <c r="K19" s="110"/>
      <c r="L19" s="112"/>
      <c r="M19" s="110"/>
      <c r="N19" s="112"/>
    </row>
    <row r="20" spans="2:14" s="67" customFormat="1" ht="18.75" customHeight="1">
      <c r="B20" s="113" t="s">
        <v>158</v>
      </c>
      <c r="C20" s="108">
        <f>VLOOKUP(I4,'Slip April'!B:BO,66,0)</f>
        <v>0</v>
      </c>
      <c r="D20" s="110" t="s">
        <v>48</v>
      </c>
      <c r="E20" s="108">
        <f>VLOOKUP(I4,'Slip April'!B:BP,67,0)</f>
        <v>0</v>
      </c>
      <c r="F20" s="113" t="s">
        <v>125</v>
      </c>
      <c r="G20" s="109">
        <f>VLOOKUP(I4,'Slip April'!B:CX,100,0)</f>
        <v>0</v>
      </c>
      <c r="H20" s="221" t="s">
        <v>50</v>
      </c>
      <c r="I20" s="237">
        <f>VLOOKUP(I4,'Slip April'!B:EP,145,0)</f>
        <v>0</v>
      </c>
      <c r="K20" s="110"/>
      <c r="L20" s="112"/>
      <c r="M20" s="110"/>
      <c r="N20" s="112"/>
    </row>
    <row r="21" spans="2:14" s="67" customFormat="1" ht="18.75" customHeight="1">
      <c r="B21" s="113" t="s">
        <v>159</v>
      </c>
      <c r="C21" s="108">
        <f>VLOOKUP(I4,'Slip April'!B:BQ,68,0)</f>
        <v>0</v>
      </c>
      <c r="D21" s="110" t="s">
        <v>48</v>
      </c>
      <c r="E21" s="108">
        <f>VLOOKUP(I4,'Slip April'!B:BR,69,0)</f>
        <v>0</v>
      </c>
      <c r="F21" s="113" t="s">
        <v>69</v>
      </c>
      <c r="G21" s="109">
        <f>VLOOKUP(I4,'Slip April'!B:CY,101,0)</f>
        <v>0</v>
      </c>
      <c r="H21" s="221"/>
      <c r="I21" s="238"/>
      <c r="K21" s="110"/>
      <c r="L21" s="112"/>
      <c r="M21" s="110"/>
      <c r="N21" s="112"/>
    </row>
    <row r="22" spans="2:14" s="67" customFormat="1" ht="18.75" customHeight="1">
      <c r="B22" s="113" t="s">
        <v>160</v>
      </c>
      <c r="C22" s="108">
        <f>VLOOKUP(I4,'Slip April'!B:BS,70,0)</f>
        <v>0</v>
      </c>
      <c r="D22" s="110" t="s">
        <v>48</v>
      </c>
      <c r="E22" s="108">
        <f>VLOOKUP(I4,'Slip April'!B:BT,71,0)</f>
        <v>0</v>
      </c>
      <c r="F22" s="113" t="s">
        <v>111</v>
      </c>
      <c r="G22" s="109">
        <f>VLOOKUP(I4,'Slip April'!B:CY,102,0)</f>
        <v>0</v>
      </c>
      <c r="H22" s="221"/>
      <c r="I22" s="239"/>
      <c r="K22" s="110"/>
      <c r="L22" s="112"/>
      <c r="M22" s="110"/>
      <c r="N22" s="112"/>
    </row>
    <row r="23" spans="2:14" s="67" customFormat="1" ht="18.75" customHeight="1">
      <c r="B23" s="113" t="s">
        <v>161</v>
      </c>
      <c r="C23" s="108">
        <f>VLOOKUP(I4,'Slip April'!B:BU,72,0)</f>
        <v>32</v>
      </c>
      <c r="D23" s="110" t="s">
        <v>48</v>
      </c>
      <c r="E23" s="108">
        <f>VLOOKUP(I4,'Slip April'!B:BV,73,0)</f>
        <v>3200</v>
      </c>
      <c r="F23" s="113"/>
      <c r="G23" s="109"/>
      <c r="H23" s="116"/>
      <c r="I23" s="117"/>
      <c r="K23" s="110"/>
      <c r="L23" s="112"/>
      <c r="M23" s="110"/>
      <c r="N23" s="112"/>
    </row>
    <row r="24" spans="2:14" s="67" customFormat="1" ht="18.75" customHeight="1">
      <c r="B24" s="113" t="s">
        <v>162</v>
      </c>
      <c r="C24" s="108">
        <f>VLOOKUP(I4,'Slip April'!B:BW,74,0)</f>
        <v>0</v>
      </c>
      <c r="D24" s="110" t="s">
        <v>48</v>
      </c>
      <c r="E24" s="108">
        <f>VLOOKUP(I4,'Slip April'!B:BX,75,0)</f>
        <v>0</v>
      </c>
      <c r="F24" s="113"/>
      <c r="G24" s="109"/>
      <c r="H24" s="66"/>
      <c r="I24" s="118"/>
      <c r="K24" s="110"/>
      <c r="L24" s="112"/>
      <c r="M24" s="110"/>
      <c r="N24" s="112"/>
    </row>
    <row r="25" spans="2:14" s="67" customFormat="1" ht="18.75" customHeight="1">
      <c r="B25" s="113" t="s">
        <v>163</v>
      </c>
      <c r="C25" s="108">
        <f>VLOOKUP(I4,'Slip April'!B:BY,76,0)</f>
        <v>12</v>
      </c>
      <c r="D25" s="110" t="s">
        <v>48</v>
      </c>
      <c r="E25" s="108">
        <f>VLOOKUP(I4,'Slip April'!B:BZ,77,0)</f>
        <v>1800</v>
      </c>
      <c r="F25" s="113"/>
      <c r="G25" s="109"/>
      <c r="H25" s="113"/>
      <c r="I25" s="119"/>
      <c r="K25" s="110"/>
      <c r="L25" s="112"/>
      <c r="M25" s="110"/>
      <c r="N25" s="112"/>
    </row>
    <row r="26" spans="2:14" s="67" customFormat="1" ht="18.75" customHeight="1">
      <c r="B26" s="113" t="s">
        <v>164</v>
      </c>
      <c r="C26" s="108">
        <f>VLOOKUP(I4,'Slip April'!B:CA,78,0)</f>
        <v>0</v>
      </c>
      <c r="D26" s="110" t="s">
        <v>48</v>
      </c>
      <c r="E26" s="108">
        <f>VLOOKUP(I4,'Slip April'!B:CB,79,0)</f>
        <v>0</v>
      </c>
      <c r="F26" s="113"/>
      <c r="G26" s="109"/>
      <c r="H26" s="113"/>
      <c r="I26" s="119"/>
      <c r="K26" s="110"/>
      <c r="L26" s="112"/>
      <c r="M26" s="110"/>
      <c r="N26" s="112"/>
    </row>
    <row r="27" spans="2:14" s="67" customFormat="1" ht="18.75" customHeight="1">
      <c r="B27" s="113" t="s">
        <v>165</v>
      </c>
      <c r="C27" s="108">
        <f>VLOOKUP(I4,'Slip April'!B:BY,76,0)</f>
        <v>12</v>
      </c>
      <c r="D27" s="110" t="s">
        <v>48</v>
      </c>
      <c r="E27" s="108">
        <f>VLOOKUP(I4,'Slip April'!B:BZ,77,0)</f>
        <v>1800</v>
      </c>
      <c r="F27" s="113"/>
      <c r="G27" s="120"/>
      <c r="H27" s="121"/>
      <c r="I27" s="119"/>
      <c r="K27" s="110"/>
      <c r="L27" s="112"/>
      <c r="M27" s="110"/>
      <c r="N27" s="112"/>
    </row>
    <row r="28" spans="2:14" s="67" customFormat="1" ht="18.75" customHeight="1">
      <c r="B28" s="113" t="s">
        <v>166</v>
      </c>
      <c r="C28" s="108">
        <f>VLOOKUP(I4,'Slip April'!B:CE,82,0)</f>
        <v>0</v>
      </c>
      <c r="D28" s="110" t="s">
        <v>48</v>
      </c>
      <c r="E28" s="108">
        <f>VLOOKUP(I4,'Slip April'!B:CF,83,0)</f>
        <v>0</v>
      </c>
      <c r="F28" s="113"/>
      <c r="G28" s="120"/>
      <c r="H28" s="121"/>
      <c r="I28" s="119"/>
      <c r="K28" s="110"/>
      <c r="L28" s="112"/>
      <c r="M28" s="110"/>
      <c r="N28" s="112"/>
    </row>
    <row r="29" spans="2:14" s="67" customFormat="1" ht="18.75" customHeight="1">
      <c r="B29" s="113" t="s">
        <v>88</v>
      </c>
      <c r="C29" s="108"/>
      <c r="D29" s="110"/>
      <c r="E29" s="108">
        <f>VLOOKUP(I4,'Slip April'!B:AG,32,0)</f>
        <v>1300</v>
      </c>
      <c r="F29" s="122"/>
      <c r="G29" s="120"/>
      <c r="H29" s="121"/>
      <c r="I29" s="119"/>
      <c r="K29" s="110"/>
      <c r="L29" s="112"/>
      <c r="M29" s="110"/>
      <c r="N29" s="112"/>
    </row>
    <row r="30" spans="2:14" s="67" customFormat="1" ht="18.75" customHeight="1">
      <c r="B30" s="113" t="s">
        <v>89</v>
      </c>
      <c r="C30" s="108"/>
      <c r="D30" s="110"/>
      <c r="E30" s="108">
        <f>VLOOKUP(I4,'Slip April'!B:AH,33,0)</f>
        <v>1800</v>
      </c>
      <c r="F30" s="122"/>
      <c r="G30" s="109"/>
      <c r="H30" s="123"/>
      <c r="I30" s="124"/>
      <c r="K30" s="110"/>
      <c r="L30" s="112"/>
      <c r="M30" s="110"/>
      <c r="N30" s="112"/>
    </row>
    <row r="31" spans="2:14" s="67" customFormat="1" ht="18.75" customHeight="1">
      <c r="B31" s="113" t="s">
        <v>90</v>
      </c>
      <c r="C31" s="108"/>
      <c r="D31" s="110"/>
      <c r="E31" s="108">
        <f>VLOOKUP(I4,'Slip April'!B:AI,34,0)</f>
        <v>1200</v>
      </c>
      <c r="F31" s="113"/>
      <c r="G31" s="109"/>
      <c r="H31" s="123"/>
      <c r="I31" s="124"/>
      <c r="K31" s="110"/>
      <c r="L31" s="112"/>
      <c r="M31" s="110"/>
      <c r="N31" s="112"/>
    </row>
    <row r="32" spans="2:14" s="67" customFormat="1" ht="18.75" customHeight="1">
      <c r="B32" s="113" t="s">
        <v>91</v>
      </c>
      <c r="C32" s="108"/>
      <c r="D32" s="110"/>
      <c r="E32" s="108">
        <f>VLOOKUP(I4,'Slip April'!B:AJ,35,0)</f>
        <v>2900</v>
      </c>
      <c r="F32" s="113"/>
      <c r="G32" s="109"/>
      <c r="H32" s="123"/>
      <c r="I32" s="124"/>
      <c r="K32" s="110"/>
      <c r="L32" s="112"/>
      <c r="M32" s="110"/>
      <c r="N32" s="112"/>
    </row>
    <row r="33" spans="2:14" s="67" customFormat="1" ht="18.75" customHeight="1">
      <c r="B33" s="113" t="s">
        <v>117</v>
      </c>
      <c r="C33" s="108"/>
      <c r="D33" s="110"/>
      <c r="E33" s="108">
        <f>VLOOKUP(I4,'Slip April'!B:AK,36,0)</f>
        <v>1800</v>
      </c>
      <c r="F33" s="113"/>
      <c r="G33" s="109"/>
      <c r="H33" s="123"/>
      <c r="I33" s="124"/>
      <c r="K33" s="110"/>
      <c r="L33" s="112"/>
      <c r="M33" s="110"/>
      <c r="N33" s="112"/>
    </row>
    <row r="34" spans="2:14" s="67" customFormat="1" ht="18.75" customHeight="1">
      <c r="B34" s="66" t="s">
        <v>167</v>
      </c>
      <c r="C34" s="108"/>
      <c r="D34" s="110"/>
      <c r="E34" s="108">
        <f>VLOOKUP(I4,'Slip April'!B:AL,37,0)</f>
        <v>0</v>
      </c>
      <c r="F34" s="113"/>
      <c r="G34" s="109"/>
      <c r="H34" s="125"/>
      <c r="I34" s="126"/>
      <c r="K34" s="110"/>
      <c r="L34" s="112"/>
      <c r="M34" s="110"/>
      <c r="N34" s="112"/>
    </row>
    <row r="35" spans="2:14" s="67" customFormat="1" ht="18.75" customHeight="1">
      <c r="B35" s="113" t="s">
        <v>93</v>
      </c>
      <c r="C35" s="108"/>
      <c r="D35" s="110"/>
      <c r="E35" s="108">
        <f>VLOOKUP(I4,'Slip April'!B:AM,38,0)</f>
        <v>0</v>
      </c>
      <c r="F35" s="113"/>
      <c r="G35" s="109"/>
      <c r="H35" s="125"/>
      <c r="I35" s="126"/>
      <c r="K35" s="110"/>
      <c r="L35" s="112"/>
      <c r="M35" s="110"/>
      <c r="N35" s="112"/>
    </row>
    <row r="36" spans="2:14" s="67" customFormat="1" ht="18.75" customHeight="1">
      <c r="B36" s="113" t="s">
        <v>94</v>
      </c>
      <c r="C36" s="108"/>
      <c r="D36" s="110"/>
      <c r="E36" s="108">
        <f>VLOOKUP(I4,'Slip April'!B:AN,39,0)</f>
        <v>500</v>
      </c>
      <c r="F36" s="113"/>
      <c r="G36" s="109"/>
      <c r="H36" s="113"/>
      <c r="I36" s="126"/>
      <c r="L36" s="112"/>
      <c r="M36" s="110"/>
      <c r="N36" s="112"/>
    </row>
    <row r="37" spans="2:14" s="67" customFormat="1" ht="18.75" customHeight="1">
      <c r="B37" s="66" t="s">
        <v>168</v>
      </c>
      <c r="C37" s="108"/>
      <c r="D37" s="110"/>
      <c r="E37" s="108">
        <f>VLOOKUP(I4,'Slip April'!B:AO,40,0)</f>
        <v>500</v>
      </c>
      <c r="F37" s="113"/>
      <c r="G37" s="127"/>
      <c r="H37" s="113"/>
      <c r="I37" s="126"/>
      <c r="K37" s="110"/>
      <c r="L37" s="110"/>
      <c r="M37" s="110"/>
      <c r="N37" s="112"/>
    </row>
    <row r="38" spans="2:14" s="67" customFormat="1" ht="18.75" customHeight="1">
      <c r="B38" s="113" t="s">
        <v>118</v>
      </c>
      <c r="C38" s="110"/>
      <c r="D38" s="110"/>
      <c r="E38" s="108">
        <f>VLOOKUP(I4,'Slip April'!B:AP,41,0)</f>
        <v>3000</v>
      </c>
      <c r="F38" s="113"/>
      <c r="G38" s="127"/>
      <c r="H38" s="113"/>
      <c r="I38" s="126"/>
      <c r="K38" s="110"/>
      <c r="L38" s="110"/>
      <c r="M38" s="110"/>
      <c r="N38" s="112"/>
    </row>
    <row r="39" spans="2:14" s="67" customFormat="1" ht="18.75" customHeight="1">
      <c r="B39" s="113" t="s">
        <v>169</v>
      </c>
      <c r="C39" s="110"/>
      <c r="D39" s="110"/>
      <c r="E39" s="108">
        <f>VLOOKUP(I4,'Slip April'!B:AQ,42,0)</f>
        <v>0</v>
      </c>
      <c r="F39" s="113"/>
      <c r="G39" s="127"/>
      <c r="H39" s="129"/>
      <c r="I39" s="126"/>
      <c r="K39" s="110"/>
      <c r="L39" s="110"/>
      <c r="M39" s="110"/>
      <c r="N39" s="112"/>
    </row>
    <row r="40" spans="2:14" s="67" customFormat="1" ht="18.75" customHeight="1">
      <c r="B40" s="66" t="s">
        <v>170</v>
      </c>
      <c r="C40" s="110"/>
      <c r="D40" s="110"/>
      <c r="E40" s="108">
        <f>VLOOKUP(I4,'Slip April'!B:AR,43,0)</f>
        <v>500</v>
      </c>
      <c r="F40" s="128"/>
      <c r="G40" s="127"/>
      <c r="H40" s="129"/>
      <c r="I40" s="126"/>
      <c r="K40" s="110"/>
      <c r="L40" s="110"/>
      <c r="M40" s="110"/>
      <c r="N40" s="112"/>
    </row>
    <row r="41" spans="2:14" s="67" customFormat="1" ht="18.75" customHeight="1">
      <c r="B41" s="66" t="s">
        <v>171</v>
      </c>
      <c r="C41" s="110"/>
      <c r="D41" s="110"/>
      <c r="E41" s="108">
        <f>VLOOKUP(I4,'Slip April'!B:AS,44,0)</f>
        <v>1350.04</v>
      </c>
      <c r="F41" s="128"/>
      <c r="G41" s="127"/>
      <c r="H41" s="113"/>
      <c r="I41" s="126"/>
      <c r="K41" s="110"/>
      <c r="L41" s="110"/>
      <c r="M41" s="110"/>
      <c r="N41" s="112"/>
    </row>
    <row r="42" spans="2:14" s="67" customFormat="1" ht="18.75" customHeight="1">
      <c r="B42" s="113" t="s">
        <v>172</v>
      </c>
      <c r="C42" s="110"/>
      <c r="D42" s="110"/>
      <c r="E42" s="108">
        <f>VLOOKUP(I4,'Slip April'!B:AT,45,0)</f>
        <v>0</v>
      </c>
      <c r="F42" s="113"/>
      <c r="G42" s="130"/>
      <c r="H42" s="131"/>
      <c r="I42" s="132"/>
      <c r="K42" s="110"/>
      <c r="L42" s="110"/>
      <c r="M42" s="110"/>
      <c r="N42" s="112"/>
    </row>
    <row r="43" spans="2:14" s="67" customFormat="1" ht="18.75" customHeight="1">
      <c r="B43" s="113" t="s">
        <v>173</v>
      </c>
      <c r="C43" s="110"/>
      <c r="D43" s="110"/>
      <c r="E43" s="108">
        <f>VLOOKUP(I4,'Slip April'!B:AU,46,0)</f>
        <v>0</v>
      </c>
      <c r="F43" s="113"/>
      <c r="G43" s="130"/>
      <c r="H43" s="131"/>
      <c r="I43" s="132"/>
      <c r="K43" s="110"/>
      <c r="L43" s="110"/>
      <c r="M43" s="110"/>
      <c r="N43" s="112"/>
    </row>
    <row r="44" spans="2:14" s="67" customFormat="1" ht="18.75" customHeight="1">
      <c r="B44" s="66" t="s">
        <v>174</v>
      </c>
      <c r="C44" s="110"/>
      <c r="D44" s="110"/>
      <c r="E44" s="108">
        <f>VLOOKUP(I4,'Slip April'!B:AV,47,0)</f>
        <v>0</v>
      </c>
      <c r="F44" s="113"/>
      <c r="G44" s="130"/>
      <c r="H44" s="131"/>
      <c r="I44" s="132"/>
      <c r="K44" s="110"/>
      <c r="L44" s="110"/>
      <c r="M44" s="110"/>
      <c r="N44" s="112"/>
    </row>
    <row r="45" spans="2:14" s="67" customFormat="1" ht="18.75" customHeight="1">
      <c r="B45" s="66" t="s">
        <v>175</v>
      </c>
      <c r="C45" s="110"/>
      <c r="D45" s="110"/>
      <c r="E45" s="108">
        <f>VLOOKUP(I4,'Slip April'!B:AW,48,0)</f>
        <v>0</v>
      </c>
      <c r="F45" s="113"/>
      <c r="G45" s="130"/>
      <c r="H45" s="131"/>
      <c r="I45" s="132"/>
      <c r="K45" s="110"/>
      <c r="L45" s="110"/>
      <c r="M45" s="110"/>
      <c r="N45" s="112"/>
    </row>
    <row r="46" spans="2:14" s="67" customFormat="1" ht="18.75" customHeight="1">
      <c r="B46" s="66" t="s">
        <v>101</v>
      </c>
      <c r="C46" s="110"/>
      <c r="D46" s="110"/>
      <c r="E46" s="108">
        <f>VLOOKUP(I4,'Slip April'!B:AX,49,0)</f>
        <v>0</v>
      </c>
      <c r="F46" s="113"/>
      <c r="G46" s="130"/>
      <c r="H46" s="131"/>
      <c r="I46" s="132"/>
      <c r="K46" s="110"/>
      <c r="L46" s="110"/>
      <c r="M46" s="110"/>
      <c r="N46" s="112"/>
    </row>
    <row r="47" spans="2:14" s="67" customFormat="1" ht="18.75" customHeight="1">
      <c r="B47" s="113" t="s">
        <v>176</v>
      </c>
      <c r="C47" s="110"/>
      <c r="D47" s="110"/>
      <c r="E47" s="108">
        <f>VLOOKUP(I4,'Slip April'!B:AY,50,0)</f>
        <v>0</v>
      </c>
      <c r="F47" s="113"/>
      <c r="G47" s="130"/>
      <c r="H47" s="131"/>
      <c r="I47" s="132"/>
      <c r="K47" s="110"/>
      <c r="L47" s="110"/>
      <c r="M47" s="110"/>
      <c r="N47" s="112"/>
    </row>
    <row r="48" spans="2:14" s="67" customFormat="1" ht="18.75" customHeight="1">
      <c r="B48" s="113" t="s">
        <v>103</v>
      </c>
      <c r="C48" s="110"/>
      <c r="D48" s="110"/>
      <c r="E48" s="108">
        <f>VLOOKUP(I4,'Slip April'!B:AZ,51,0)</f>
        <v>0</v>
      </c>
      <c r="F48" s="113"/>
      <c r="G48" s="130"/>
      <c r="H48" s="131"/>
      <c r="I48" s="132"/>
      <c r="K48" s="110"/>
      <c r="L48" s="110"/>
      <c r="M48" s="110"/>
      <c r="N48" s="112"/>
    </row>
    <row r="49" spans="2:14" s="67" customFormat="1" ht="18.75" customHeight="1">
      <c r="B49" s="133" t="s">
        <v>177</v>
      </c>
      <c r="C49" s="110"/>
      <c r="D49" s="110"/>
      <c r="E49" s="108">
        <f>VLOOKUP(I4,'Slip April'!B:BA,52,0)</f>
        <v>0</v>
      </c>
      <c r="F49" s="113"/>
      <c r="G49" s="130"/>
      <c r="H49" s="131"/>
      <c r="I49" s="132"/>
      <c r="K49" s="110"/>
      <c r="L49" s="110"/>
      <c r="M49" s="110"/>
      <c r="N49" s="112"/>
    </row>
    <row r="50" spans="2:14" s="67" customFormat="1" ht="18.75" customHeight="1">
      <c r="B50" s="113" t="s">
        <v>105</v>
      </c>
      <c r="C50" s="110"/>
      <c r="D50" s="110"/>
      <c r="E50" s="108">
        <f>VLOOKUP(I4,'Slip April'!B:BB,53,0)</f>
        <v>0</v>
      </c>
      <c r="F50" s="113"/>
      <c r="G50" s="130"/>
      <c r="H50" s="110"/>
      <c r="I50" s="132"/>
      <c r="K50" s="110"/>
      <c r="L50" s="110"/>
      <c r="M50" s="110"/>
      <c r="N50" s="112"/>
    </row>
    <row r="51" spans="2:14" s="67" customFormat="1" ht="18.75" customHeight="1">
      <c r="B51" s="113" t="s">
        <v>178</v>
      </c>
      <c r="C51" s="110"/>
      <c r="D51" s="110"/>
      <c r="E51" s="108">
        <f>VLOOKUP(I4,'Slip April'!B:BC,54,0)</f>
        <v>0</v>
      </c>
      <c r="F51" s="113"/>
      <c r="G51" s="130"/>
      <c r="H51" s="110"/>
      <c r="I51" s="132"/>
      <c r="K51" s="110"/>
      <c r="L51" s="110"/>
      <c r="M51" s="110"/>
      <c r="N51" s="112"/>
    </row>
    <row r="52" spans="2:14" s="67" customFormat="1" ht="18.75" customHeight="1">
      <c r="B52" s="113" t="s">
        <v>121</v>
      </c>
      <c r="C52" s="110"/>
      <c r="D52" s="110"/>
      <c r="E52" s="108">
        <f>VLOOKUP(I4,'Slip April'!B:BD,55,0)</f>
        <v>0</v>
      </c>
      <c r="F52" s="113"/>
      <c r="G52" s="130"/>
      <c r="H52" s="110"/>
      <c r="I52" s="119"/>
      <c r="K52" s="110"/>
      <c r="L52" s="110"/>
      <c r="M52" s="110"/>
      <c r="N52" s="112"/>
    </row>
    <row r="53" spans="2:14" s="67" customFormat="1" ht="18.75" customHeight="1">
      <c r="B53" s="113" t="s">
        <v>108</v>
      </c>
      <c r="C53" s="110"/>
      <c r="D53" s="110"/>
      <c r="E53" s="108">
        <f>VLOOKUP(I4,'Slip April'!B:BE,56,0)</f>
        <v>0</v>
      </c>
      <c r="F53" s="113"/>
      <c r="G53" s="130"/>
      <c r="H53" s="131"/>
      <c r="I53" s="119"/>
      <c r="K53" s="110"/>
      <c r="L53" s="134"/>
      <c r="M53" s="110"/>
      <c r="N53" s="112"/>
    </row>
    <row r="54" spans="2:14" s="67" customFormat="1" ht="18.75" customHeight="1">
      <c r="B54" s="66" t="s">
        <v>106</v>
      </c>
      <c r="C54" s="134"/>
      <c r="D54" s="110"/>
      <c r="E54" s="108">
        <f>VLOOKUP(I4,'Slip April'!B:BF,57,0)</f>
        <v>0</v>
      </c>
      <c r="F54" s="122"/>
      <c r="G54" s="127"/>
      <c r="H54" s="129"/>
      <c r="I54" s="119"/>
      <c r="K54" s="110"/>
      <c r="L54" s="134"/>
      <c r="M54" s="110"/>
      <c r="N54" s="112"/>
    </row>
    <row r="55" spans="2:14" s="67" customFormat="1" ht="18.75" customHeight="1">
      <c r="B55" s="66" t="s">
        <v>107</v>
      </c>
      <c r="C55" s="134"/>
      <c r="D55" s="110"/>
      <c r="E55" s="108">
        <f>VLOOKUP(I4,'Slip April'!B:BG,58,0)</f>
        <v>0</v>
      </c>
      <c r="F55" s="113"/>
      <c r="G55" s="127"/>
      <c r="H55" s="129"/>
      <c r="I55" s="119"/>
      <c r="L55" s="134"/>
      <c r="M55" s="110"/>
      <c r="N55" s="112"/>
    </row>
    <row r="56" spans="2:14" s="67" customFormat="1" ht="18.75" customHeight="1">
      <c r="B56" s="113" t="s">
        <v>157</v>
      </c>
      <c r="C56" s="134"/>
      <c r="D56" s="110"/>
      <c r="E56" s="108">
        <f>VLOOKUP(I4,'Slip April'!B:BH,59,0)</f>
        <v>0</v>
      </c>
      <c r="F56" s="113"/>
      <c r="G56" s="127"/>
      <c r="H56" s="129"/>
      <c r="I56" s="119"/>
      <c r="L56" s="134"/>
      <c r="M56" s="110"/>
      <c r="N56" s="112"/>
    </row>
    <row r="57" spans="2:14" s="67" customFormat="1" ht="18.75" customHeight="1">
      <c r="B57" s="66" t="s">
        <v>179</v>
      </c>
      <c r="C57" s="134"/>
      <c r="D57" s="110"/>
      <c r="E57" s="108">
        <f>VLOOKUP(I4,'Slip April'!B:BI,60,0)</f>
        <v>0</v>
      </c>
      <c r="F57" s="113"/>
      <c r="G57" s="127"/>
      <c r="H57" s="129"/>
      <c r="I57" s="119"/>
      <c r="L57" s="134"/>
      <c r="M57" s="110"/>
      <c r="N57" s="112"/>
    </row>
    <row r="58" spans="2:14" s="67" customFormat="1" ht="18.75" customHeight="1">
      <c r="B58" s="113" t="s">
        <v>109</v>
      </c>
      <c r="C58" s="134"/>
      <c r="D58" s="110"/>
      <c r="E58" s="108">
        <f>VLOOKUP(I4,'Slip April'!B:BJ,61,0)</f>
        <v>0</v>
      </c>
      <c r="F58" s="113"/>
      <c r="G58" s="70"/>
      <c r="H58" s="71"/>
      <c r="I58" s="135"/>
      <c r="L58" s="72"/>
      <c r="N58" s="136"/>
    </row>
    <row r="59" spans="2:14" s="67" customFormat="1" ht="18.75" customHeight="1">
      <c r="B59" s="66" t="s">
        <v>180</v>
      </c>
      <c r="C59" s="72"/>
      <c r="E59" s="69">
        <f>VLOOKUP(I4,'Slip April'!B:BK,62,0)</f>
        <v>0</v>
      </c>
      <c r="F59" s="66"/>
      <c r="G59" s="70"/>
      <c r="H59" s="71"/>
      <c r="I59" s="135"/>
      <c r="L59" s="72"/>
      <c r="N59" s="136"/>
    </row>
    <row r="60" spans="2:14" s="67" customFormat="1" ht="18.75" customHeight="1">
      <c r="B60" s="113" t="s">
        <v>111</v>
      </c>
      <c r="C60" s="72"/>
      <c r="E60" s="69">
        <f>VLOOKUP(I4,'Slip April'!B:BL,63,0)</f>
        <v>800</v>
      </c>
      <c r="F60" s="66"/>
      <c r="G60" s="70"/>
      <c r="H60" s="71"/>
      <c r="I60" s="135"/>
      <c r="L60" s="72"/>
      <c r="N60" s="136"/>
    </row>
    <row r="61" spans="2:14" s="67" customFormat="1" ht="18.75" customHeight="1">
      <c r="B61" s="113"/>
      <c r="C61" s="72"/>
      <c r="E61" s="69"/>
      <c r="F61" s="66"/>
      <c r="G61" s="70"/>
      <c r="H61" s="71"/>
      <c r="I61" s="135"/>
      <c r="L61" s="72"/>
      <c r="N61" s="136"/>
    </row>
    <row r="62" spans="2:14" s="67" customFormat="1" ht="18.75" customHeight="1" thickBot="1">
      <c r="B62" s="66"/>
      <c r="C62" s="72"/>
      <c r="E62" s="69"/>
      <c r="F62" s="66"/>
      <c r="G62" s="90"/>
      <c r="H62" s="89"/>
      <c r="I62" s="137"/>
      <c r="K62" s="138"/>
      <c r="L62" s="73"/>
    </row>
    <row r="63" spans="2:14" s="67" customFormat="1" ht="18.75" customHeight="1">
      <c r="B63" s="113"/>
      <c r="C63" s="87"/>
      <c r="D63" s="78"/>
      <c r="E63" s="86"/>
      <c r="F63" s="81"/>
      <c r="G63" s="213"/>
      <c r="H63" s="80"/>
      <c r="I63" s="242">
        <f>E66-G66</f>
        <v>33438.04</v>
      </c>
      <c r="K63" s="138"/>
      <c r="L63" s="73"/>
    </row>
    <row r="64" spans="2:14" s="67" customFormat="1" ht="18.75" customHeight="1">
      <c r="B64" s="139"/>
      <c r="C64" s="87"/>
      <c r="D64" s="78"/>
      <c r="E64" s="86"/>
      <c r="F64" s="81"/>
      <c r="G64" s="213"/>
      <c r="H64" s="91"/>
      <c r="I64" s="246"/>
      <c r="K64" s="138"/>
      <c r="L64" s="73"/>
    </row>
    <row r="65" spans="2:12" ht="21.75" customHeight="1" thickBot="1">
      <c r="B65" s="81"/>
      <c r="C65" s="87"/>
      <c r="D65" s="78"/>
      <c r="E65" s="86"/>
      <c r="F65" s="81"/>
      <c r="G65" s="140"/>
      <c r="H65" s="91" t="s">
        <v>51</v>
      </c>
      <c r="I65" s="246"/>
      <c r="K65" s="74"/>
      <c r="L65" s="67"/>
    </row>
    <row r="66" spans="2:12" ht="21.75" customHeight="1">
      <c r="B66" s="240" t="s">
        <v>52</v>
      </c>
      <c r="C66" s="241"/>
      <c r="D66" s="241"/>
      <c r="E66" s="242">
        <f>SUM(E10:E65)</f>
        <v>33750.04</v>
      </c>
      <c r="F66" s="88" t="s">
        <v>53</v>
      </c>
      <c r="G66" s="242">
        <f>SUM(G10:G65)</f>
        <v>312</v>
      </c>
      <c r="H66" s="92" t="s">
        <v>54</v>
      </c>
      <c r="I66" s="246"/>
    </row>
    <row r="67" spans="2:12" ht="28" thickBot="1">
      <c r="B67" s="244" t="s">
        <v>55</v>
      </c>
      <c r="C67" s="245"/>
      <c r="D67" s="245"/>
      <c r="E67" s="243"/>
      <c r="F67" s="89" t="s">
        <v>56</v>
      </c>
      <c r="G67" s="243"/>
      <c r="H67" s="93"/>
      <c r="I67" s="243"/>
    </row>
    <row r="68" spans="2:12" ht="27">
      <c r="F68" s="77"/>
    </row>
  </sheetData>
  <mergeCells count="16">
    <mergeCell ref="H17:H19"/>
    <mergeCell ref="I17:I19"/>
    <mergeCell ref="H20:H22"/>
    <mergeCell ref="I20:I22"/>
    <mergeCell ref="B66:D66"/>
    <mergeCell ref="E66:E67"/>
    <mergeCell ref="B67:D67"/>
    <mergeCell ref="I63:I67"/>
    <mergeCell ref="G66:G67"/>
    <mergeCell ref="H14:H16"/>
    <mergeCell ref="I14:I16"/>
    <mergeCell ref="C6:E6"/>
    <mergeCell ref="B8:E9"/>
    <mergeCell ref="F8:G9"/>
    <mergeCell ref="H10:H13"/>
    <mergeCell ref="I10:I13"/>
  </mergeCells>
  <phoneticPr fontId="26"/>
  <printOptions horizontalCentered="1"/>
  <pageMargins left="0.11811023622047245" right="0.11811023622047245" top="0.15748031496062992" bottom="0.15748031496062992" header="0.15748031496062992" footer="0.15748031496062992"/>
  <pageSetup paperSize="156" scale="51" fitToHeight="0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Slip April</vt:lpstr>
      <vt:lpstr>1</vt:lpstr>
      <vt:lpstr>'1'!Print_Area</vt:lpstr>
      <vt:lpstr>'Slip April'!Print_Area</vt:lpstr>
      <vt:lpstr>'Slip April'!Print_Titles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เกศราภรณ์ สาวะทา</dc:creator>
  <cp:lastModifiedBy>Isara Nakavisute</cp:lastModifiedBy>
  <cp:lastPrinted>2025-03-04T08:01:11Z</cp:lastPrinted>
  <dcterms:created xsi:type="dcterms:W3CDTF">2024-05-04T15:34:49Z</dcterms:created>
  <dcterms:modified xsi:type="dcterms:W3CDTF">2025-07-27T08:21:57Z</dcterms:modified>
</cp:coreProperties>
</file>